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A\Desktop\Refbits Files\RefBitsNet6\"/>
    </mc:Choice>
  </mc:AlternateContent>
  <xr:revisionPtr revIDLastSave="0" documentId="13_ncr:1_{E7CFC74B-F193-46CB-94FB-148EC9476881}" xr6:coauthVersionLast="47" xr6:coauthVersionMax="47" xr10:uidLastSave="{00000000-0000-0000-0000-000000000000}"/>
  <bookViews>
    <workbookView xWindow="28680" yWindow="-120" windowWidth="29040" windowHeight="16440" activeTab="1" xr2:uid="{45080F50-977A-4DD2-AE72-F98276B3B70A}"/>
  </bookViews>
  <sheets>
    <sheet name="Feed Components" sheetId="2" r:id="rId1"/>
    <sheet name="Sheet1" sheetId="1" r:id="rId2"/>
  </sheets>
  <functionGroups builtInGroupCount="19"/>
  <externalReferences>
    <externalReference r:id="rId3"/>
    <externalReference r:id="rId4"/>
  </externalReferences>
  <definedNames>
    <definedName name="_MACP1">Sheet1!$J$7</definedName>
    <definedName name="_MACP2">Sheet1!$J$11</definedName>
    <definedName name="BottomsStripFlow">[1]Control!$J$9</definedName>
    <definedName name="BP">'Feed Components'!$C$5:$C$80</definedName>
    <definedName name="Comp1">[2]Control!$I$6</definedName>
    <definedName name="Comp2">[2]Control!$I$7</definedName>
    <definedName name="Comp3">[2]Control!$I$8</definedName>
    <definedName name="CompBP">'Feed Components'!$C$5:$C$80</definedName>
    <definedName name="CompNames">'Feed Components'!$A$5:$A$80</definedName>
    <definedName name="CompSG">'Feed Components'!$E$5:$E$80</definedName>
    <definedName name="CondSpec">[1]Jacobian!$C$1</definedName>
    <definedName name="ConDT">[1]Jacobian!$E$6</definedName>
    <definedName name="CritV">'Feed Components'!$I$5:$I$80</definedName>
    <definedName name="D95Spec">[1]Jacobian!$E$8</definedName>
    <definedName name="DeltaT">[1]Setup!$AN$24</definedName>
    <definedName name="EnthalpyCalcMethod">[1]Control!$N$5</definedName>
    <definedName name="EnthalpyMethod">[1]Control!$N$2</definedName>
    <definedName name="FeedEnthalpy">'Feed Components'!$S$3</definedName>
    <definedName name="FeedMoleArray">'Feed Components'!$B$5:$B$80</definedName>
    <definedName name="FeedT">[1]Control!$I$2</definedName>
    <definedName name="FeedTray">[1]Control!$T$15</definedName>
    <definedName name="Fractions">'Feed Components'!$B$5:$B$80</definedName>
    <definedName name="Fractions1">[1]Compositions!$B$2:$BY$2</definedName>
    <definedName name="Fractions10">[1]Compositions!$B$11:$BY$11</definedName>
    <definedName name="Fractions11">[1]Compositions!$B$12:$BY$12</definedName>
    <definedName name="Fractions12">[1]Compositions!$B$13:$BY$13</definedName>
    <definedName name="Fractions13">[1]Compositions!$B$14:$BY$14</definedName>
    <definedName name="FRactions14">[1]Compositions!$B$15:$BY$15</definedName>
    <definedName name="Fractions15">[1]Compositions!$B$16:$BY$16</definedName>
    <definedName name="Fractions16">[1]Compositions!$B$17:$BY$17</definedName>
    <definedName name="Fractions2">[1]Compositions!$B$3:$BY$3</definedName>
    <definedName name="Fractions3">[1]Compositions!$B$4:$BY$4</definedName>
    <definedName name="fractions4">[1]Compositions!$B$5:$BY$5</definedName>
    <definedName name="Fractions5">[1]Compositions!$B$6:$BY$6</definedName>
    <definedName name="Fractions6">[1]Compositions!$B$7:$BY$7</definedName>
    <definedName name="Fractions7">[1]Compositions!$B$8:$BY$8</definedName>
    <definedName name="Fractions8">[1]Compositions!$B$9:$BY$9</definedName>
    <definedName name="Fractions9">[1]Compositions!$B$10:$BY$10</definedName>
    <definedName name="FractionsV1">[1]Compositions!$B$19:$BY$19</definedName>
    <definedName name="FractionsV10">[1]Compositions!$B$28:$BY$28</definedName>
    <definedName name="FractionsV11">[1]Compositions!$B$29:$BY$29</definedName>
    <definedName name="FractionsV12">[1]Compositions!$B$30:$BY$30</definedName>
    <definedName name="FractionsV13">[1]Compositions!$B$31:$BY$31</definedName>
    <definedName name="FractionsV14">[1]Compositions!$B$32:$BY$32</definedName>
    <definedName name="FractionsV15">[1]Compositions!$B$33:$BY$33</definedName>
    <definedName name="FractionsV16">[1]Compositions!$B$34:$BY$34</definedName>
    <definedName name="FractionsV2">[1]Compositions!$B$20:$BY$20</definedName>
    <definedName name="FractionsV3">[1]Compositions!$B$21:$BY$21</definedName>
    <definedName name="FractionsV4">[1]Compositions!$B$22:$BY$22</definedName>
    <definedName name="FractionsV5">[1]Compositions!$B$23:$BY$23</definedName>
    <definedName name="FractionsV6">[1]Compositions!$B$24:$BY$24</definedName>
    <definedName name="FractionsV7">[1]Compositions!$B$25:$BY$25</definedName>
    <definedName name="FractionsV8">[1]Compositions!$B$26:$BY$26</definedName>
    <definedName name="FractionsV9">[1]Compositions!$B$27:$BY$27</definedName>
    <definedName name="HXMethod">Sheet1!$D$4</definedName>
    <definedName name="IFractions1">[1]CompositionsInitial!$B$2:$BY$2</definedName>
    <definedName name="IFractions10">[1]CompositionsInitial!$B$11:$BY$11</definedName>
    <definedName name="IFractions11">[1]CompositionsInitial!$B$12:$BY$12</definedName>
    <definedName name="IFractions12">[1]CompositionsInitial!$B$13:$BY$13</definedName>
    <definedName name="IFractions13">[1]CompositionsInitial!$B$14:$BY$14</definedName>
    <definedName name="IFractions14">[1]CompositionsInitial!$B$15:$BY$15</definedName>
    <definedName name="IFractions15">[1]CompositionsInitial!$B$16:$BY$16</definedName>
    <definedName name="IFractions16">[1]CompositionsInitial!$B$17:$BY$17</definedName>
    <definedName name="IFractions2">[1]CompositionsInitial!$B$3:$BY$3</definedName>
    <definedName name="IFractions3">[1]CompositionsInitial!$B$4:$BY$4</definedName>
    <definedName name="IFractions4">[1]CompositionsInitial!$B$5:$BY$5</definedName>
    <definedName name="IFractions5">[1]CompositionsInitial!$B$6:$BY$6</definedName>
    <definedName name="IFractions6">[1]CompositionsInitial!$B$7:$BY$7</definedName>
    <definedName name="IFractions7">[1]CompositionsInitial!$B$8:$BY$8</definedName>
    <definedName name="IFractions8">[1]CompositionsInitial!$B$9:$BY$9</definedName>
    <definedName name="IFractions9">[1]CompositionsInitial!$B$10:$BY$10</definedName>
    <definedName name="IFractionsV1">[1]CompositionsInitial!$B$19:$BY$19</definedName>
    <definedName name="IFractionsV10">[1]CompositionsInitial!$B$28:$BY$28</definedName>
    <definedName name="IFractionsV11">[1]CompositionsInitial!$B$29:$BY$29</definedName>
    <definedName name="IFractionsV12">[1]CompositionsInitial!$B$30:$BY$30</definedName>
    <definedName name="IFractionsV13">[1]CompositionsInitial!$B$31:$BY$31</definedName>
    <definedName name="IFractionsV14">[1]CompositionsInitial!$B$32:$BY$32</definedName>
    <definedName name="IFractionsV15">[1]CompositionsInitial!$B$33:$BY$33</definedName>
    <definedName name="IFractionsV16">[1]CompositionsInitial!$B$34:$BY$34</definedName>
    <definedName name="IFractionsV2">[1]CompositionsInitial!$B$20:$BY$20</definedName>
    <definedName name="IFractionsV3">[1]CompositionsInitial!$B$21:$BY$21</definedName>
    <definedName name="IFractionsV4">[1]CompositionsInitial!$B$22:$BY$22</definedName>
    <definedName name="IFractionsV5">[1]CompositionsInitial!$B$23:$BY$23</definedName>
    <definedName name="IFractionsV6">[1]CompositionsInitial!$B$24:$BY$24</definedName>
    <definedName name="IFractionsV7">[1]CompositionsInitial!$B$25:$BY$25</definedName>
    <definedName name="IFractionsV8">[1]CompositionsInitial!$B$26:$BY$26</definedName>
    <definedName name="IFractionsV9">[1]CompositionsInitial!$B$27:$BY$27</definedName>
    <definedName name="Iterations">[1]Jacobian!$S$5</definedName>
    <definedName name="JacobDelta">[1]Jacobian!$J$1</definedName>
    <definedName name="MACP1">Sheet1!$J$7</definedName>
    <definedName name="Method">'Feed Components'!$O$2</definedName>
    <definedName name="MW">'Feed Components'!$G$5:$G$80</definedName>
    <definedName name="NewError">[1]Jacobian!$Y$1</definedName>
    <definedName name="Omega">'Feed Components'!$H$5:$H$80</definedName>
    <definedName name="P">'Feed Components'!$N$2</definedName>
    <definedName name="PADelta">[1]Control!$J$17</definedName>
    <definedName name="PADRawDelta">[1]Jacobian!$AA$35</definedName>
    <definedName name="PADrawLoc">[1]Control!$T$18</definedName>
    <definedName name="PAFlow">[1]Control!$J$15</definedName>
    <definedName name="PCrit">'Feed Components'!$F$5:$F$80</definedName>
    <definedName name="Press">Sheet1!$D$1</definedName>
    <definedName name="RR">[1]Jacobian!$E$7</definedName>
    <definedName name="SG">'Feed Components'!$D$5:$D$80</definedName>
    <definedName name="SideDraw">[1]Jacobian!$E$4</definedName>
    <definedName name="SideDrawDelta">[1]Jacobian!$AA$32</definedName>
    <definedName name="solver_adj" localSheetId="1" hidden="1">Sheet1!$D$4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Sheet1!$D$14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100000</definedName>
    <definedName name="solver_ver" localSheetId="1" hidden="1">3</definedName>
    <definedName name="StartError">[1]Jacobian!$Y$2</definedName>
    <definedName name="Strip1Delta">[1]Jacobian!$AA$26</definedName>
    <definedName name="Strip1Loc">[1]Control!$T$16</definedName>
    <definedName name="Strip1VapLoc">[1]Control!$T$20</definedName>
    <definedName name="Strip2Delta">[1]Jacobian!$AA$27</definedName>
    <definedName name="Strip2Draw">[1]Control!$J$13</definedName>
    <definedName name="Strip2DrawDelta">[1]Jacobian!$AA$34</definedName>
    <definedName name="Strip2Loc">[1]Control!$T$17</definedName>
    <definedName name="Strip2Tray1Delta">[1]Jacobian!$AA$29</definedName>
    <definedName name="Strip2Tray2Delta">[1]Jacobian!$AA$30</definedName>
    <definedName name="Strip2Tray3Delta">[1]Jacobian!$AA$31</definedName>
    <definedName name="Strip3Delta">[1]Jacobian!$AA$28</definedName>
    <definedName name="StripDraw">[1]Control!$J$12</definedName>
    <definedName name="StripDrawDelta">[1]Jacobian!$AA$33</definedName>
    <definedName name="StripFeedT">[1]Control!$J$14</definedName>
    <definedName name="StrippingAgentFlow">[1]Control!$J$10</definedName>
    <definedName name="StrippingAgentFlow2">[1]Control!$J$11</definedName>
    <definedName name="StripVapLoc">[1]Control!$T$21</definedName>
    <definedName name="T">'Feed Components'!$M$2</definedName>
    <definedName name="TCrit">'Feed Components'!$E$5:$E$80</definedName>
    <definedName name="Tray10DElta">[1]Jacobian!$AA$25</definedName>
    <definedName name="TRay1Delta">[1]Jacobian!$AA$16</definedName>
    <definedName name="Tray2Delta">[1]Jacobian!$AA$17</definedName>
    <definedName name="Tray3Delta">[1]Jacobian!$AA$18</definedName>
    <definedName name="Tray4Delta">[1]Jacobian!$AA$19</definedName>
    <definedName name="Tray5Delta">[1]Jacobian!$AA$20</definedName>
    <definedName name="Tray6Delta">[1]Jacobian!$AA$21</definedName>
    <definedName name="Tray7Delta">[1]Jacobian!$AA$22</definedName>
    <definedName name="Tray8Delta">[1]Jacobian!$AA$23</definedName>
    <definedName name="Tray9Delta">[1]Jacobian!$AA$24</definedName>
    <definedName name="UA">Sheet1!$D$3</definedName>
    <definedName name="UATemp">Sheet1!$D$14</definedName>
    <definedName name="UseBips">'Feed Components'!$P$2</definedName>
    <definedName name="WaterDraw">[1]Control!$N$6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" l="1"/>
  <c r="R4" i="1"/>
  <c r="G11" i="1" s="1"/>
  <c r="Q4" i="1"/>
  <c r="G7" i="1" s="1"/>
  <c r="D20" i="1"/>
  <c r="R5" i="1"/>
  <c r="S31" i="1" s="1"/>
  <c r="Q5" i="1"/>
  <c r="J5" i="2" a="1"/>
  <c r="J5" i="2" s="1"/>
  <c r="L5" i="2" s="1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AE5" i="2" a="1"/>
  <c r="AE5" i="2" s="1"/>
  <c r="AD5" i="2" a="1"/>
  <c r="AD5" i="2" s="1"/>
  <c r="AC5" i="2" a="1"/>
  <c r="AC5" i="2" s="1"/>
  <c r="AB5" i="2" a="1"/>
  <c r="AB5" i="2" s="1"/>
  <c r="AA5" i="2" a="1"/>
  <c r="AA5" i="2" s="1"/>
  <c r="Z5" i="2" a="1"/>
  <c r="Z5" i="2" s="1"/>
  <c r="Y5" i="2" a="1"/>
  <c r="Y5" i="2" s="1"/>
  <c r="X5" i="2" a="1"/>
  <c r="X5" i="2" s="1"/>
  <c r="M5" i="2"/>
  <c r="B3" i="2"/>
  <c r="S4" i="2" a="1"/>
  <c r="E11" i="1" a="1"/>
  <c r="E9" i="1" a="1"/>
  <c r="E7" i="1" a="1"/>
  <c r="E11" i="1" l="1"/>
  <c r="S78" i="1"/>
  <c r="S74" i="1"/>
  <c r="S51" i="1"/>
  <c r="S28" i="1"/>
  <c r="S76" i="1"/>
  <c r="S53" i="1"/>
  <c r="S27" i="1"/>
  <c r="S77" i="1"/>
  <c r="S75" i="1"/>
  <c r="S54" i="1"/>
  <c r="S52" i="1"/>
  <c r="S29" i="1"/>
  <c r="S73" i="1"/>
  <c r="S50" i="1"/>
  <c r="S49" i="1"/>
  <c r="S30" i="1"/>
  <c r="S26" i="1"/>
  <c r="S25" i="1"/>
  <c r="S24" i="1"/>
  <c r="S23" i="1"/>
  <c r="S48" i="1"/>
  <c r="S71" i="1"/>
  <c r="S46" i="1"/>
  <c r="S16" i="1"/>
  <c r="S72" i="1"/>
  <c r="S47" i="1"/>
  <c r="S70" i="1"/>
  <c r="S69" i="1"/>
  <c r="S21" i="1"/>
  <c r="S63" i="1"/>
  <c r="S17" i="1"/>
  <c r="S64" i="1"/>
  <c r="S37" i="1"/>
  <c r="S22" i="1"/>
  <c r="S45" i="1"/>
  <c r="S68" i="1"/>
  <c r="S44" i="1"/>
  <c r="S20" i="1"/>
  <c r="S67" i="1"/>
  <c r="S43" i="1"/>
  <c r="S19" i="1"/>
  <c r="S66" i="1"/>
  <c r="S42" i="1"/>
  <c r="S18" i="1"/>
  <c r="S65" i="1"/>
  <c r="S41" i="1"/>
  <c r="S40" i="1"/>
  <c r="S39" i="1"/>
  <c r="S15" i="1"/>
  <c r="S62" i="1"/>
  <c r="S38" i="1"/>
  <c r="S14" i="1"/>
  <c r="S61" i="1"/>
  <c r="S13" i="1"/>
  <c r="S60" i="1"/>
  <c r="S12" i="1"/>
  <c r="S59" i="1"/>
  <c r="S11" i="1"/>
  <c r="S82" i="1"/>
  <c r="S58" i="1"/>
  <c r="S34" i="1"/>
  <c r="S81" i="1"/>
  <c r="S9" i="1"/>
  <c r="S80" i="1"/>
  <c r="S56" i="1"/>
  <c r="S32" i="1"/>
  <c r="S8" i="1"/>
  <c r="S36" i="1"/>
  <c r="S7" i="1"/>
  <c r="S35" i="1"/>
  <c r="S10" i="1"/>
  <c r="S57" i="1"/>
  <c r="S33" i="1"/>
  <c r="S79" i="1"/>
  <c r="S55" i="1"/>
  <c r="E9" i="1"/>
  <c r="E7" i="1"/>
  <c r="E8" i="1"/>
  <c r="S4" i="2"/>
  <c r="S3" i="2"/>
  <c r="L9" i="2"/>
  <c r="L80" i="2"/>
  <c r="L68" i="2"/>
  <c r="L56" i="2"/>
  <c r="L44" i="2"/>
  <c r="L32" i="2"/>
  <c r="L20" i="2"/>
  <c r="L8" i="2"/>
  <c r="L69" i="2"/>
  <c r="L58" i="2"/>
  <c r="L46" i="2"/>
  <c r="L11" i="2"/>
  <c r="L59" i="2"/>
  <c r="L24" i="2"/>
  <c r="L13" i="2"/>
  <c r="L73" i="2"/>
  <c r="L21" i="2"/>
  <c r="L10" i="2"/>
  <c r="L12" i="2"/>
  <c r="L60" i="2"/>
  <c r="L25" i="2"/>
  <c r="L71" i="2"/>
  <c r="L45" i="2"/>
  <c r="L22" i="2"/>
  <c r="L35" i="2"/>
  <c r="L36" i="2"/>
  <c r="L72" i="2"/>
  <c r="L37" i="2"/>
  <c r="L49" i="2"/>
  <c r="L33" i="2"/>
  <c r="L34" i="2"/>
  <c r="L23" i="2"/>
  <c r="L47" i="2"/>
  <c r="L48" i="2"/>
  <c r="L61" i="2"/>
  <c r="L14" i="2"/>
  <c r="L26" i="2"/>
  <c r="L38" i="2"/>
  <c r="L50" i="2"/>
  <c r="L62" i="2"/>
  <c r="L74" i="2"/>
  <c r="L27" i="2"/>
  <c r="L51" i="2"/>
  <c r="L16" i="2"/>
  <c r="L52" i="2"/>
  <c r="L64" i="2"/>
  <c r="L76" i="2"/>
  <c r="L15" i="2"/>
  <c r="L63" i="2"/>
  <c r="L39" i="2"/>
  <c r="L75" i="2"/>
  <c r="L53" i="2"/>
  <c r="L77" i="2"/>
  <c r="L28" i="2"/>
  <c r="L6" i="2"/>
  <c r="L18" i="2"/>
  <c r="L30" i="2"/>
  <c r="L42" i="2"/>
  <c r="L54" i="2"/>
  <c r="L66" i="2"/>
  <c r="L78" i="2"/>
  <c r="L57" i="2"/>
  <c r="L70" i="2"/>
  <c r="L29" i="2"/>
  <c r="L40" i="2"/>
  <c r="L17" i="2"/>
  <c r="L65" i="2"/>
  <c r="L7" i="2"/>
  <c r="L19" i="2"/>
  <c r="L31" i="2"/>
  <c r="L43" i="2"/>
  <c r="L55" i="2"/>
  <c r="L67" i="2"/>
  <c r="L79" i="2"/>
  <c r="L41" i="2"/>
  <c r="D8" i="1" a="1"/>
  <c r="D8" i="1" l="1"/>
  <c r="D17" i="1"/>
  <c r="H7" i="1"/>
  <c r="D22" i="1" s="1"/>
  <c r="E12" i="1"/>
  <c r="D12" i="1" a="1"/>
  <c r="D12" i="1" l="1"/>
  <c r="I7" i="1"/>
  <c r="J7" i="1" s="1"/>
  <c r="K7" i="1"/>
  <c r="D16" i="1" l="1"/>
  <c r="D18" i="1" s="1"/>
  <c r="H11" i="1"/>
  <c r="K11" i="1" l="1"/>
  <c r="I11" i="1"/>
  <c r="J11" i="1" s="1"/>
  <c r="H14" i="1" s="1"/>
  <c r="D14" i="1" l="1"/>
  <c r="I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<sst xmlns="http://schemas.openxmlformats.org/spreadsheetml/2006/main" count="217" uniqueCount="125">
  <si>
    <t>Cold</t>
  </si>
  <si>
    <t xml:space="preserve">Hot </t>
  </si>
  <si>
    <t>UA</t>
  </si>
  <si>
    <t>Total water</t>
  </si>
  <si>
    <t>Temperature</t>
  </si>
  <si>
    <t>Press</t>
  </si>
  <si>
    <t>Method</t>
  </si>
  <si>
    <t>USE BIPS</t>
  </si>
  <si>
    <t>Feed Vap</t>
  </si>
  <si>
    <t>Refbits 0.67 Vap</t>
  </si>
  <si>
    <t>Feed Enthalpy</t>
  </si>
  <si>
    <t>Cpt</t>
  </si>
  <si>
    <t>MOL%</t>
  </si>
  <si>
    <t>BPC</t>
  </si>
  <si>
    <t>SG</t>
  </si>
  <si>
    <t>Tcrit</t>
  </si>
  <si>
    <t>Pcrit</t>
  </si>
  <si>
    <t>MW</t>
  </si>
  <si>
    <t>Omega</t>
  </si>
  <si>
    <t>CritV</t>
  </si>
  <si>
    <t>Kmix</t>
  </si>
  <si>
    <t>BP K</t>
  </si>
  <si>
    <t>Crude</t>
  </si>
  <si>
    <t>C3_C4</t>
  </si>
  <si>
    <t>H2O</t>
  </si>
  <si>
    <t>Hydrogen</t>
  </si>
  <si>
    <t>Nitrogen</t>
  </si>
  <si>
    <t>CO</t>
  </si>
  <si>
    <t>Oxygen</t>
  </si>
  <si>
    <t>Methane</t>
  </si>
  <si>
    <t>Ethylene</t>
  </si>
  <si>
    <t>Ethane</t>
  </si>
  <si>
    <t>CO2</t>
  </si>
  <si>
    <t>H2S</t>
  </si>
  <si>
    <t>Propene</t>
  </si>
  <si>
    <t>Propane</t>
  </si>
  <si>
    <t>i-Butane</t>
  </si>
  <si>
    <t>n-Butane</t>
  </si>
  <si>
    <t>i-Pentane</t>
  </si>
  <si>
    <t>n-Pentane</t>
  </si>
  <si>
    <t>Quasi38*</t>
  </si>
  <si>
    <t>Quasi45*</t>
  </si>
  <si>
    <t>Quasi55*</t>
  </si>
  <si>
    <t>Quasi65*</t>
  </si>
  <si>
    <t>Quasi75*</t>
  </si>
  <si>
    <t>Quasi85*</t>
  </si>
  <si>
    <t>Quasi95*</t>
  </si>
  <si>
    <t>Quasi105*</t>
  </si>
  <si>
    <t>Quasi115*</t>
  </si>
  <si>
    <t>Quasi125*</t>
  </si>
  <si>
    <t>Quasi135*</t>
  </si>
  <si>
    <t>Quasi145*</t>
  </si>
  <si>
    <t>Quasi155*</t>
  </si>
  <si>
    <t>Quasi165*</t>
  </si>
  <si>
    <t>Quasi175*</t>
  </si>
  <si>
    <t>Quasi185*</t>
  </si>
  <si>
    <t>Quasi195*</t>
  </si>
  <si>
    <t>Quasi205*</t>
  </si>
  <si>
    <t>Quasi215*</t>
  </si>
  <si>
    <t>Quasi225*</t>
  </si>
  <si>
    <t>Quasi235*</t>
  </si>
  <si>
    <t>Quasi245*</t>
  </si>
  <si>
    <t>Quasi255*</t>
  </si>
  <si>
    <t>Quasi265*</t>
  </si>
  <si>
    <t>Quasi275*</t>
  </si>
  <si>
    <t>Quasi285*</t>
  </si>
  <si>
    <t>Quasi295*</t>
  </si>
  <si>
    <t>Quasi305*</t>
  </si>
  <si>
    <t>Quasi315*</t>
  </si>
  <si>
    <t>Quasi325*</t>
  </si>
  <si>
    <t>Quasi335*</t>
  </si>
  <si>
    <t>Quasi345*</t>
  </si>
  <si>
    <t>Quasi355*</t>
  </si>
  <si>
    <t>Quasi365*</t>
  </si>
  <si>
    <t>Quasi375*</t>
  </si>
  <si>
    <t>Quasi385*</t>
  </si>
  <si>
    <t>Quasi395*</t>
  </si>
  <si>
    <t>Quasi405*</t>
  </si>
  <si>
    <t>Quasi415*</t>
  </si>
  <si>
    <t>Quasi425*</t>
  </si>
  <si>
    <t>Quasi435*</t>
  </si>
  <si>
    <t>Quasi445*</t>
  </si>
  <si>
    <t>Quasi460*</t>
  </si>
  <si>
    <t>Quasi480*</t>
  </si>
  <si>
    <t>Quasi500*</t>
  </si>
  <si>
    <t>Quasi520*</t>
  </si>
  <si>
    <t>Quasi540*</t>
  </si>
  <si>
    <t>Quasi560*</t>
  </si>
  <si>
    <t>Quasi580*</t>
  </si>
  <si>
    <t>Quasi600*</t>
  </si>
  <si>
    <t>Quasi620*</t>
  </si>
  <si>
    <t>Quasi640*</t>
  </si>
  <si>
    <t>Quasi660*</t>
  </si>
  <si>
    <t>Quasi680*</t>
  </si>
  <si>
    <t>Quasi700*</t>
  </si>
  <si>
    <t>Quasi720*</t>
  </si>
  <si>
    <t>Quasi740*</t>
  </si>
  <si>
    <t>Quasi775*</t>
  </si>
  <si>
    <t>Quasi825*</t>
  </si>
  <si>
    <t>Quasi875*</t>
  </si>
  <si>
    <t>H</t>
  </si>
  <si>
    <t>in</t>
  </si>
  <si>
    <t>out</t>
  </si>
  <si>
    <t>T</t>
  </si>
  <si>
    <t>Comps As Range, BPRange As Range, SGRange As Range, TCrit As Range, PCrit As Range, VolCrit As Range, MW As Range, Omega As Range, Xfractions As Range, H As Double, P As Double, Method As Integer, UseBips As Boolean) As Double</t>
  </si>
  <si>
    <t>Qest</t>
  </si>
  <si>
    <t>DT1</t>
  </si>
  <si>
    <t>DT2</t>
  </si>
  <si>
    <t>LMTD</t>
  </si>
  <si>
    <t xml:space="preserve">UA </t>
  </si>
  <si>
    <t>Flow, Mols</t>
  </si>
  <si>
    <t>MCP</t>
  </si>
  <si>
    <t>DTIN</t>
  </si>
  <si>
    <t>(Math.Exp(UAtemp / MCP2 - UAtemp / MCP1) * DTIN - DTIN) / (Math.Exp(UAtemp / MCP2 - UAtemp / MCP1) * 1 / MCP2 - 1 / MCP1);</t>
  </si>
  <si>
    <t>Flow Mass</t>
  </si>
  <si>
    <t>Calc Sequence</t>
  </si>
  <si>
    <t>Enter UA Value</t>
  </si>
  <si>
    <t>Calc Q</t>
  </si>
  <si>
    <t>Calc MCPs</t>
  </si>
  <si>
    <t>Re-Calculate Q</t>
  </si>
  <si>
    <t>Cp Molar</t>
  </si>
  <si>
    <t>Cp mass</t>
  </si>
  <si>
    <t>Duty</t>
  </si>
  <si>
    <t>MolarCP</t>
  </si>
  <si>
    <t>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</si>
</sst>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&quot; &quot;#,##0.00&quot; &quot;;&quot;-&quot;#,##0.00&quot; &quot;;&quot; -&quot;00&quot; &quot;;&quot; &quot;@&quot; &quot;"/>
    <numFmt numFmtId="165" formatCode="&quot; &quot;#,##0.000000&quot; &quot;;&quot;-&quot;#,##0.000000&quot; &quot;;&quot; -&quot;00.0000&quot; &quot;;&quot; &quot;@&quot; &quot;"/>
    <numFmt numFmtId="166" formatCode="0.000"/>
    <numFmt numFmtId="167" formatCode="0.0"/>
    <numFmt numFmtId="168" formatCode="&quot; &quot;#,##0.00&quot; &quot;;&quot;-&quot;#,##0.00&quot; &quot;;&quot; -&quot;00.0&quot; &quot;;&quot; &quot;@&quot; &quot;"/>
    <numFmt numFmtId="169" formatCode="&quot; &quot;#,##0.0&quot; &quot;;&quot;-&quot;#,##0.0&quot; &quot;;&quot; -&quot;00&quot; &quot;;&quot; &quot;@&quot; &quot;"/>
    <numFmt numFmtId="170" formatCode="0.0000"/>
    <numFmt numFmtId="171" formatCode="0.0000%"/>
    <numFmt numFmtId="172" formatCode="&quot; &quot;#,##0.000&quot; &quot;;&quot;-&quot;#,##0.000&quot; &quot;;&quot; -&quot;00.0&quot; &quot;;&quot; &quot;@&quot; &quot;"/>
    <numFmt numFmtId="173" formatCode="0.00000"/>
    <numFmt numFmtId="174" formatCode="_-* #,##0_-;\-* #,##0_-;_-* &quot;-&quot;??_-;_-@_-"/>
    <numFmt numFmtId="175" formatCode="0.000000"/>
    <numFmt numFmtId="176" formatCode="0.0000000"/>
    <numFmt numFmtId="179" formatCode="0.000%"/>
  </numFmts>
  <fonts count="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center"/>
    </xf>
    <xf numFmtId="165" fontId="0" fillId="0" borderId="0" xfId="2" applyNumberFormat="1" applyFont="1"/>
    <xf numFmtId="2" fontId="0" fillId="0" borderId="0" xfId="2" applyNumberFormat="1" applyFont="1"/>
    <xf numFmtId="166" fontId="1" fillId="0" borderId="0" xfId="1" applyNumberFormat="1"/>
    <xf numFmtId="166" fontId="0" fillId="0" borderId="0" xfId="2" applyNumberFormat="1" applyFont="1"/>
    <xf numFmtId="167" fontId="1" fillId="0" borderId="0" xfId="1" applyNumberFormat="1"/>
    <xf numFmtId="168" fontId="0" fillId="0" borderId="0" xfId="2" applyNumberFormat="1" applyFont="1"/>
    <xf numFmtId="169" fontId="0" fillId="0" borderId="0" xfId="2" applyNumberFormat="1" applyFont="1"/>
    <xf numFmtId="170" fontId="1" fillId="0" borderId="0" xfId="1" applyNumberFormat="1"/>
    <xf numFmtId="0" fontId="1" fillId="0" borderId="0" xfId="1" applyAlignment="1">
      <alignment vertical="center" wrapText="1"/>
    </xf>
    <xf numFmtId="171" fontId="1" fillId="0" borderId="0" xfId="1" applyNumberFormat="1"/>
    <xf numFmtId="172" fontId="0" fillId="0" borderId="0" xfId="2" applyNumberFormat="1" applyFont="1"/>
    <xf numFmtId="166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165" fontId="0" fillId="0" borderId="0" xfId="2" applyNumberFormat="1" applyFont="1" applyAlignment="1">
      <alignment horizontal="center"/>
    </xf>
    <xf numFmtId="167" fontId="1" fillId="0" borderId="0" xfId="1" applyNumberFormat="1" applyAlignment="1">
      <alignment horizontal="center"/>
    </xf>
    <xf numFmtId="168" fontId="0" fillId="0" borderId="0" xfId="2" applyNumberFormat="1" applyFont="1" applyAlignment="1">
      <alignment horizontal="center"/>
    </xf>
    <xf numFmtId="173" fontId="1" fillId="0" borderId="0" xfId="1" applyNumberFormat="1"/>
    <xf numFmtId="165" fontId="0" fillId="0" borderId="0" xfId="2" applyNumberFormat="1" applyFont="1" applyFill="1"/>
    <xf numFmtId="168" fontId="0" fillId="0" borderId="0" xfId="2" applyNumberFormat="1" applyFont="1" applyFill="1"/>
    <xf numFmtId="169" fontId="0" fillId="0" borderId="0" xfId="2" applyNumberFormat="1" applyFont="1" applyFill="1"/>
    <xf numFmtId="0" fontId="2" fillId="0" borderId="0" xfId="1" applyFont="1"/>
    <xf numFmtId="11" fontId="1" fillId="0" borderId="0" xfId="1" applyNumberFormat="1"/>
    <xf numFmtId="170" fontId="1" fillId="0" borderId="0" xfId="1" applyNumberFormat="1" applyAlignment="1">
      <alignment horizontal="center"/>
    </xf>
    <xf numFmtId="0" fontId="0" fillId="0" borderId="0" xfId="0" applyAlignment="1">
      <alignment horizontal="right"/>
    </xf>
    <xf numFmtId="166" fontId="0" fillId="0" borderId="0" xfId="0" applyNumberFormat="1"/>
    <xf numFmtId="166" fontId="0" fillId="0" borderId="0" xfId="3" applyNumberFormat="1" applyFont="1"/>
    <xf numFmtId="167" fontId="0" fillId="0" borderId="0" xfId="0" applyNumberFormat="1"/>
    <xf numFmtId="1" fontId="0" fillId="0" borderId="0" xfId="0" applyNumberFormat="1"/>
    <xf numFmtId="43" fontId="0" fillId="0" borderId="0" xfId="3" applyFont="1"/>
    <xf numFmtId="174" fontId="0" fillId="0" borderId="0" xfId="3" applyNumberFormat="1" applyFont="1"/>
    <xf numFmtId="0" fontId="0" fillId="0" borderId="0" xfId="0" applyAlignment="1">
      <alignment vertical="center" wrapText="1"/>
    </xf>
    <xf numFmtId="2" fontId="0" fillId="0" borderId="0" xfId="0" applyNumberFormat="1"/>
    <xf numFmtId="11" fontId="0" fillId="0" borderId="0" xfId="0" applyNumberFormat="1"/>
    <xf numFmtId="175" fontId="0" fillId="0" borderId="0" xfId="0" applyNumberFormat="1"/>
    <xf numFmtId="176" fontId="0" fillId="0" borderId="0" xfId="0" applyNumberFormat="1"/>
    <xf numFmtId="179" fontId="1" fillId="0" borderId="0" xfId="4" applyNumberFormat="1" applyFont="1"/>
    <xf numFmtId="11" fontId="0" fillId="0" borderId="0" xfId="0" applyNumberFormat="1" applyAlignment="1">
      <alignment vertical="center" wrapText="1"/>
    </xf>
  </cellXfs>
  <cellStyles count="5">
    <cellStyle name="Comma" xfId="3" builtinId="3"/>
    <cellStyle name="Comma 2" xfId="2" xr:uid="{593875E3-4C08-43B5-80FA-E88860319A7C}"/>
    <cellStyle name="Normal" xfId="0" builtinId="0"/>
    <cellStyle name="Normal 2" xfId="1" xr:uid="{38400FE6-45F7-4FD3-88F7-CD99F32D1204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Russel%202021\Crude%20&amp;%202%20PA%202%20Stripper\CRUDE_2PA_2STRIPPER_No%20Reboiler_FeedTray5_NewThermo_Urals_Solved2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Russel%202021\Russel%202015%20Alt%20(Peng-Robinson)5%20Strip%20&amp;%20PA%20-%20SolvedCopy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ositionsInitial"/>
      <sheetName val="Compositions"/>
      <sheetName val="Feed Components"/>
      <sheetName val="Log"/>
      <sheetName val="Control"/>
      <sheetName val="Jacobian"/>
      <sheetName val="Sheet1"/>
      <sheetName val="Setup"/>
      <sheetName val="BaseCase"/>
      <sheetName val="Tray1"/>
      <sheetName val="Tray2"/>
      <sheetName val="Tray3"/>
      <sheetName val="Tray4"/>
      <sheetName val="Tray5"/>
      <sheetName val="Tray6"/>
      <sheetName val="Tray7"/>
      <sheetName val="Tray8"/>
      <sheetName val="Tray9"/>
      <sheetName val="Tray10"/>
      <sheetName val="Stray1"/>
      <sheetName val="Stray2"/>
      <sheetName val="Stray3"/>
      <sheetName val="S2Tray1"/>
      <sheetName val="S2Tray2"/>
      <sheetName val="S2Tray3"/>
      <sheetName val="SDraw"/>
      <sheetName val="StripDraw1"/>
      <sheetName val="StripDraw2"/>
      <sheetName val="PADraw"/>
    </sheetNames>
    <sheetDataSet>
      <sheetData sheetId="0">
        <row r="2">
          <cell r="B2">
            <v>4.3686321478800086E-7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6.5128545252531158E-5</v>
          </cell>
          <cell r="J2">
            <v>0</v>
          </cell>
          <cell r="K2">
            <v>0</v>
          </cell>
          <cell r="L2">
            <v>0</v>
          </cell>
          <cell r="M2">
            <v>2.5133175557596732E-3</v>
          </cell>
          <cell r="N2">
            <v>2.1192244678065607E-3</v>
          </cell>
          <cell r="O2">
            <v>9.2807344397028927E-3</v>
          </cell>
          <cell r="P2">
            <v>2.2540324867800833E-3</v>
          </cell>
          <cell r="Q2">
            <v>2.4733087973004332E-3</v>
          </cell>
          <cell r="R2">
            <v>1.7022858825203474E-3</v>
          </cell>
          <cell r="S2">
            <v>6.6159337074789791E-3</v>
          </cell>
          <cell r="T2">
            <v>1.0486420869908574E-2</v>
          </cell>
          <cell r="U2">
            <v>1.1917744651785129E-2</v>
          </cell>
          <cell r="V2">
            <v>1.3875348320515811E-2</v>
          </cell>
          <cell r="W2">
            <v>1.6448871628142899E-2</v>
          </cell>
          <cell r="X2">
            <v>1.968394291959296E-2</v>
          </cell>
          <cell r="Y2">
            <v>2.4536030135911744E-2</v>
          </cell>
          <cell r="Z2">
            <v>3.0187670541099457E-2</v>
          </cell>
          <cell r="AA2">
            <v>3.5446062441723526E-2</v>
          </cell>
          <cell r="AB2">
            <v>3.9867461703625456E-2</v>
          </cell>
          <cell r="AC2">
            <v>4.3099370759732622E-2</v>
          </cell>
          <cell r="AD2">
            <v>4.6014728316379636E-2</v>
          </cell>
          <cell r="AE2">
            <v>5.1146604029416599E-2</v>
          </cell>
          <cell r="AF2">
            <v>5.1324121187955832E-2</v>
          </cell>
          <cell r="AG2">
            <v>4.8919897462285138E-2</v>
          </cell>
          <cell r="AH2">
            <v>4.8836309577365608E-2</v>
          </cell>
          <cell r="AI2">
            <v>4.9609596531660458E-2</v>
          </cell>
          <cell r="AJ2">
            <v>5.1738310116006936E-2</v>
          </cell>
          <cell r="AK2">
            <v>5.4999188750222631E-2</v>
          </cell>
          <cell r="AL2">
            <v>5.9204950022504109E-2</v>
          </cell>
          <cell r="AM2">
            <v>6.1506066321048387E-2</v>
          </cell>
          <cell r="AN2">
            <v>6.0287084066464706E-2</v>
          </cell>
          <cell r="AO2">
            <v>5.4063245854803023E-2</v>
          </cell>
          <cell r="AP2">
            <v>4.2124845651077575E-2</v>
          </cell>
          <cell r="AQ2">
            <v>2.6292350490887517E-2</v>
          </cell>
          <cell r="AR2">
            <v>1.301166069130477E-2</v>
          </cell>
          <cell r="AS2">
            <v>5.3104161575514355E-3</v>
          </cell>
          <cell r="AT2">
            <v>1.9472018064092924E-3</v>
          </cell>
          <cell r="AU2">
            <v>6.8461722855569379E-4</v>
          </cell>
          <cell r="AV2">
            <v>2.4028550730186457E-4</v>
          </cell>
          <cell r="AW2">
            <v>8.9694838383608833E-5</v>
          </cell>
          <cell r="AX2">
            <v>3.605706357480247E-5</v>
          </cell>
          <cell r="AY2">
            <v>1.6380457355366092E-5</v>
          </cell>
          <cell r="AZ2">
            <v>8.6535185958269278E-6</v>
          </cell>
          <cell r="BA2">
            <v>5.1419451287068364E-6</v>
          </cell>
          <cell r="BB2">
            <v>3.210965132514506E-6</v>
          </cell>
          <cell r="BC2">
            <v>2.0879503442616439E-6</v>
          </cell>
          <cell r="BD2">
            <v>1.3763772985738753E-6</v>
          </cell>
          <cell r="BE2">
            <v>9.1841052407633474E-7</v>
          </cell>
          <cell r="BF2">
            <v>6.1558309853813176E-7</v>
          </cell>
          <cell r="BG2">
            <v>4.1266666992491137E-7</v>
          </cell>
          <cell r="BH2">
            <v>3.3365033945505028E-7</v>
          </cell>
          <cell r="BI2">
            <v>1.9017723001363772E-7</v>
          </cell>
          <cell r="BJ2">
            <v>7.6348665491439192E-8</v>
          </cell>
          <cell r="BK2">
            <v>2.8728587166586641E-8</v>
          </cell>
          <cell r="BL2">
            <v>9.8318976204555036E-9</v>
          </cell>
          <cell r="BM2">
            <v>3.5042307533401659E-9</v>
          </cell>
          <cell r="BN2">
            <v>1.1518084460828286E-9</v>
          </cell>
          <cell r="BO2">
            <v>2.3282578749194824E-10</v>
          </cell>
          <cell r="BP2">
            <v>7.4866047853043456E-11</v>
          </cell>
          <cell r="BQ2">
            <v>2.4897887960247016E-11</v>
          </cell>
          <cell r="BR2">
            <v>7.9674952390961854E-12</v>
          </cell>
          <cell r="BS2">
            <v>2.4680863633291134E-12</v>
          </cell>
          <cell r="BT2">
            <v>7.4052261572997949E-13</v>
          </cell>
          <cell r="BU2">
            <v>2.2844711738560522E-13</v>
          </cell>
          <cell r="BV2">
            <v>6.9154157796707651E-14</v>
          </cell>
          <cell r="BW2">
            <v>1.4663922281421728E-14</v>
          </cell>
          <cell r="BX2">
            <v>1.2181277643953388E-15</v>
          </cell>
          <cell r="BY2">
            <v>1.013211596903985E-21</v>
          </cell>
        </row>
        <row r="3">
          <cell r="B3">
            <v>1.019902639680641E-3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2.5555005650682432E-5</v>
          </cell>
          <cell r="J3">
            <v>0</v>
          </cell>
          <cell r="K3">
            <v>0</v>
          </cell>
          <cell r="L3">
            <v>0</v>
          </cell>
          <cell r="M3">
            <v>8.8944854569810491E-4</v>
          </cell>
          <cell r="N3">
            <v>7.0578726158893718E-4</v>
          </cell>
          <cell r="O3">
            <v>3.0205943081270297E-3</v>
          </cell>
          <cell r="P3">
            <v>7.0720318224595097E-4</v>
          </cell>
          <cell r="Q3">
            <v>7.6240983310050311E-4</v>
          </cell>
          <cell r="R3">
            <v>5.3084719312098522E-4</v>
          </cell>
          <cell r="S3">
            <v>2.0528869155324093E-3</v>
          </cell>
          <cell r="T3">
            <v>3.2412883551579553E-3</v>
          </cell>
          <cell r="U3">
            <v>3.6857694313708559E-3</v>
          </cell>
          <cell r="V3">
            <v>4.3193283189404434E-3</v>
          </cell>
          <cell r="W3">
            <v>5.1849810582250471E-3</v>
          </cell>
          <cell r="X3">
            <v>6.3244210371337876E-3</v>
          </cell>
          <cell r="Y3">
            <v>8.0941065023379666E-3</v>
          </cell>
          <cell r="Z3">
            <v>1.0303981972388868E-2</v>
          </cell>
          <cell r="AA3">
            <v>1.2625581300635695E-2</v>
          </cell>
          <cell r="AB3">
            <v>1.4951105296537284E-2</v>
          </cell>
          <cell r="AC3">
            <v>1.7190935213222645E-2</v>
          </cell>
          <cell r="AD3">
            <v>1.9734522659517559E-2</v>
          </cell>
          <cell r="AE3">
            <v>2.3873769117182739E-2</v>
          </cell>
          <cell r="AF3">
            <v>2.6415358740256287E-2</v>
          </cell>
          <cell r="AG3">
            <v>2.8106483196201446E-2</v>
          </cell>
          <cell r="AH3">
            <v>3.1664472383215972E-2</v>
          </cell>
          <cell r="AI3">
            <v>3.667059215790177E-2</v>
          </cell>
          <cell r="AJ3">
            <v>4.4161623248333046E-2</v>
          </cell>
          <cell r="AK3">
            <v>5.4667992485508486E-2</v>
          </cell>
          <cell r="AL3">
            <v>6.9176384806619626E-2</v>
          </cell>
          <cell r="AM3">
            <v>8.5292113482510853E-2</v>
          </cell>
          <cell r="AN3">
            <v>0.1000471604870479</v>
          </cell>
          <cell r="AO3">
            <v>0.1082915898343513</v>
          </cell>
          <cell r="AP3">
            <v>0.10269347865371625</v>
          </cell>
          <cell r="AQ3">
            <v>7.8615795520551646E-2</v>
          </cell>
          <cell r="AR3">
            <v>4.8091215009752782E-2</v>
          </cell>
          <cell r="AS3">
            <v>2.4429254091890121E-2</v>
          </cell>
          <cell r="AT3">
            <v>1.1230571924724594E-2</v>
          </cell>
          <cell r="AU3">
            <v>4.9875696539316023E-3</v>
          </cell>
          <cell r="AV3">
            <v>2.2275769249050842E-3</v>
          </cell>
          <cell r="AW3">
            <v>1.0651751188098658E-3</v>
          </cell>
          <cell r="AX3">
            <v>5.5270824263871159E-4</v>
          </cell>
          <cell r="AY3">
            <v>3.2661593602233461E-4</v>
          </cell>
          <cell r="AZ3">
            <v>2.2620078413240275E-4</v>
          </cell>
          <cell r="BA3">
            <v>1.774402179206125E-4</v>
          </cell>
          <cell r="BB3">
            <v>1.4758813280097867E-4</v>
          </cell>
          <cell r="BC3">
            <v>1.2887026366970779E-4</v>
          </cell>
          <cell r="BD3">
            <v>1.1497600091313433E-4</v>
          </cell>
          <cell r="BE3">
            <v>1.0475228735890671E-4</v>
          </cell>
          <cell r="BF3">
            <v>9.6760692462406997E-5</v>
          </cell>
          <cell r="BG3">
            <v>9.0205251044926378E-5</v>
          </cell>
          <cell r="BH3">
            <v>1.217637121960887E-4</v>
          </cell>
          <cell r="BI3">
            <v>1.4213612384590937E-4</v>
          </cell>
          <cell r="BJ3">
            <v>1.2175463419996952E-4</v>
          </cell>
          <cell r="BK3">
            <v>1.0188202731540806E-4</v>
          </cell>
          <cell r="BL3">
            <v>8.0867444898408001E-5</v>
          </cell>
          <cell r="BM3">
            <v>6.9417055252070378E-5</v>
          </cell>
          <cell r="BN3">
            <v>5.718470113604425E-5</v>
          </cell>
          <cell r="BO3">
            <v>3.0049318829044142E-5</v>
          </cell>
          <cell r="BP3">
            <v>2.6019684108110936E-5</v>
          </cell>
          <cell r="BQ3">
            <v>2.4006666127231286E-5</v>
          </cell>
          <cell r="BR3">
            <v>2.2000531013819145E-5</v>
          </cell>
          <cell r="BS3">
            <v>1.999787064415201E-5</v>
          </cell>
          <cell r="BT3">
            <v>1.799689795752567E-5</v>
          </cell>
          <cell r="BU3">
            <v>1.699651629899171E-5</v>
          </cell>
          <cell r="BV3">
            <v>1.5996468085098321E-5</v>
          </cell>
          <cell r="BW3">
            <v>2.4994220199293876E-5</v>
          </cell>
          <cell r="BX3">
            <v>3.1992500156985951E-5</v>
          </cell>
          <cell r="BY3">
            <v>2.9992951146765519E-5</v>
          </cell>
        </row>
        <row r="4">
          <cell r="B4">
            <v>6.4263487410226659E-4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1.7453559395814782E-5</v>
          </cell>
          <cell r="J4">
            <v>0</v>
          </cell>
          <cell r="K4">
            <v>0</v>
          </cell>
          <cell r="L4">
            <v>0</v>
          </cell>
          <cell r="M4">
            <v>5.7034813392897211E-4</v>
          </cell>
          <cell r="N4">
            <v>4.3145237279951438E-4</v>
          </cell>
          <cell r="O4">
            <v>1.8106486877686881E-3</v>
          </cell>
          <cell r="P4">
            <v>4.0211521925487276E-4</v>
          </cell>
          <cell r="Q4">
            <v>4.2604242190843886E-4</v>
          </cell>
          <cell r="R4">
            <v>2.9548861475782266E-4</v>
          </cell>
          <cell r="S4">
            <v>1.1259900034142132E-3</v>
          </cell>
          <cell r="T4">
            <v>1.7396003115942177E-3</v>
          </cell>
          <cell r="U4">
            <v>1.9344085047525194E-3</v>
          </cell>
          <cell r="V4">
            <v>2.2162029123830576E-3</v>
          </cell>
          <cell r="W4">
            <v>2.6010144229194378E-3</v>
          </cell>
          <cell r="X4">
            <v>3.103686886855007E-3</v>
          </cell>
          <cell r="Y4">
            <v>3.8908596365767444E-3</v>
          </cell>
          <cell r="Z4">
            <v>4.862742791590738E-3</v>
          </cell>
          <cell r="AA4">
            <v>5.8690598170761275E-3</v>
          </cell>
          <cell r="AB4">
            <v>6.8784324218498314E-3</v>
          </cell>
          <cell r="AC4">
            <v>7.8787901499095103E-3</v>
          </cell>
          <cell r="AD4">
            <v>9.088302437962591E-3</v>
          </cell>
          <cell r="AE4">
            <v>1.1169937576815269E-2</v>
          </cell>
          <cell r="AF4">
            <v>1.2724595598731616E-2</v>
          </cell>
          <cell r="AG4">
            <v>1.4141164532018538E-2</v>
          </cell>
          <cell r="AH4">
            <v>1.6878654417767439E-2</v>
          </cell>
          <cell r="AI4">
            <v>2.099913525717995E-2</v>
          </cell>
          <cell r="AJ4">
            <v>2.7570902883499764E-2</v>
          </cell>
          <cell r="AK4">
            <v>3.7700822828966488E-2</v>
          </cell>
          <cell r="AL4">
            <v>5.3350798667527802E-2</v>
          </cell>
          <cell r="AM4">
            <v>7.4425347260074076E-2</v>
          </cell>
          <cell r="AN4">
            <v>9.9731496249619328E-2</v>
          </cell>
          <cell r="AO4">
            <v>0.12439143344712755</v>
          </cell>
          <cell r="AP4">
            <v>0.13685745649657916</v>
          </cell>
          <cell r="AQ4">
            <v>0.1220478543535487</v>
          </cell>
          <cell r="AR4">
            <v>8.7015898752150503E-2</v>
          </cell>
          <cell r="AS4">
            <v>5.1220418139790717E-2</v>
          </cell>
          <cell r="AT4">
            <v>2.6903341838262079E-2</v>
          </cell>
          <cell r="AU4">
            <v>1.3294327496458513E-2</v>
          </cell>
          <cell r="AV4">
            <v>6.3325648635553051E-3</v>
          </cell>
          <cell r="AW4">
            <v>3.0474091889248719E-3</v>
          </cell>
          <cell r="AX4">
            <v>1.489024866913523E-3</v>
          </cell>
          <cell r="AY4">
            <v>7.7836661943679218E-4</v>
          </cell>
          <cell r="AZ4">
            <v>4.5552282034491405E-4</v>
          </cell>
          <cell r="BA4">
            <v>2.9553687186143857E-4</v>
          </cell>
          <cell r="BB4">
            <v>2.03390176681748E-4</v>
          </cell>
          <cell r="BC4">
            <v>1.4967456534328776E-4</v>
          </cell>
          <cell r="BD4">
            <v>1.1579752817258102E-4</v>
          </cell>
          <cell r="BE4">
            <v>9.4386383945115122E-5</v>
          </cell>
          <cell r="BF4">
            <v>8.0304221687410341E-5</v>
          </cell>
          <cell r="BG4">
            <v>7.0655531667060265E-5</v>
          </cell>
          <cell r="BH4">
            <v>9.0404375327926667E-5</v>
          </cell>
          <cell r="BI4">
            <v>1.0199693600402177E-4</v>
          </cell>
          <cell r="BJ4">
            <v>8.6189146654131856E-5</v>
          </cell>
          <cell r="BK4">
            <v>7.1741058056392027E-5</v>
          </cell>
          <cell r="BL4">
            <v>5.6826155148088923E-5</v>
          </cell>
          <cell r="BM4">
            <v>4.8739468008696354E-5</v>
          </cell>
          <cell r="BN4">
            <v>4.0136821484447534E-5</v>
          </cell>
          <cell r="BO4">
            <v>2.1087779260459312E-5</v>
          </cell>
          <cell r="BP4">
            <v>1.8258611099229095E-5</v>
          </cell>
          <cell r="BQ4">
            <v>1.6845487119094046E-5</v>
          </cell>
          <cell r="BR4">
            <v>1.5437553832647069E-5</v>
          </cell>
          <cell r="BS4">
            <v>1.4032214287624948E-5</v>
          </cell>
          <cell r="BT4">
            <v>1.2628124238475605E-5</v>
          </cell>
          <cell r="BU4">
            <v>1.1926158103164438E-5</v>
          </cell>
          <cell r="BV4">
            <v>1.1224435819041329E-5</v>
          </cell>
          <cell r="BW4">
            <v>1.753799253052374E-5</v>
          </cell>
          <cell r="BX4">
            <v>2.2448557531538443E-5</v>
          </cell>
          <cell r="BY4">
            <v>2.1045510042531494E-5</v>
          </cell>
        </row>
        <row r="5">
          <cell r="B5">
            <v>2.6855882023325741E-4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1.4496174887702168E-5</v>
          </cell>
          <cell r="J5">
            <v>0</v>
          </cell>
          <cell r="K5">
            <v>0</v>
          </cell>
          <cell r="L5">
            <v>0</v>
          </cell>
          <cell r="M5">
            <v>4.6060344290190777E-4</v>
          </cell>
          <cell r="N5">
            <v>3.4030493718253978E-4</v>
          </cell>
          <cell r="O5">
            <v>1.4177531791882607E-3</v>
          </cell>
          <cell r="P5">
            <v>3.0632839281185604E-4</v>
          </cell>
          <cell r="Q5">
            <v>3.2202453438480335E-4</v>
          </cell>
          <cell r="R5">
            <v>2.2375522566267397E-4</v>
          </cell>
          <cell r="S5">
            <v>8.4573015538411849E-4</v>
          </cell>
          <cell r="T5">
            <v>1.2903306863739654E-3</v>
          </cell>
          <cell r="U5">
            <v>1.415205654345377E-3</v>
          </cell>
          <cell r="V5">
            <v>1.5971399845039732E-3</v>
          </cell>
          <cell r="W5">
            <v>1.8432823971049764E-3</v>
          </cell>
          <cell r="X5">
            <v>2.1585171345238781E-3</v>
          </cell>
          <cell r="Y5">
            <v>2.6492530996448742E-3</v>
          </cell>
          <cell r="Z5">
            <v>3.2335061781155303E-3</v>
          </cell>
          <cell r="AA5">
            <v>3.8008893571012821E-3</v>
          </cell>
          <cell r="AB5">
            <v>4.3281128917347211E-3</v>
          </cell>
          <cell r="AC5">
            <v>4.808646211902301E-3</v>
          </cell>
          <cell r="AD5">
            <v>5.3797850911689654E-3</v>
          </cell>
          <cell r="AE5">
            <v>6.4272435184664651E-3</v>
          </cell>
          <cell r="AF5">
            <v>7.1572218692260133E-3</v>
          </cell>
          <cell r="AG5">
            <v>7.8467470198798506E-3</v>
          </cell>
          <cell r="AH5">
            <v>9.3561085118736755E-3</v>
          </cell>
          <cell r="AI5">
            <v>1.1805827935325195E-2</v>
          </cell>
          <cell r="AJ5">
            <v>1.599984290145659E-2</v>
          </cell>
          <cell r="AK5">
            <v>2.3033198265952726E-2</v>
          </cell>
          <cell r="AL5">
            <v>3.4976090205567752E-2</v>
          </cell>
          <cell r="AM5">
            <v>5.3312111569899907E-2</v>
          </cell>
          <cell r="AN5">
            <v>7.9289799800573019E-2</v>
          </cell>
          <cell r="AO5">
            <v>0.11129405743693438</v>
          </cell>
          <cell r="AP5">
            <v>0.13943869048990629</v>
          </cell>
          <cell r="AQ5">
            <v>0.14300484383455672</v>
          </cell>
          <cell r="AR5">
            <v>0.11824100397843521</v>
          </cell>
          <cell r="AS5">
            <v>8.1220721062297149E-2</v>
          </cell>
          <cell r="AT5">
            <v>5.0023987342339864E-2</v>
          </cell>
          <cell r="AU5">
            <v>2.9068778680806286E-2</v>
          </cell>
          <cell r="AV5">
            <v>1.6284160612048335E-2</v>
          </cell>
          <cell r="AW5">
            <v>9.1793655375864685E-3</v>
          </cell>
          <cell r="AX5">
            <v>5.2118866165413429E-3</v>
          </cell>
          <cell r="AY5">
            <v>3.1223362494378942E-3</v>
          </cell>
          <cell r="AZ5">
            <v>2.0510600237037225E-3</v>
          </cell>
          <cell r="BA5">
            <v>1.4514732556923184E-3</v>
          </cell>
          <cell r="BB5">
            <v>1.0519714024755269E-3</v>
          </cell>
          <cell r="BC5">
            <v>7.8300425781625686E-4</v>
          </cell>
          <cell r="BD5">
            <v>5.8769911089332264E-4</v>
          </cell>
          <cell r="BE5">
            <v>4.4696630294490086E-4</v>
          </cell>
          <cell r="BF5">
            <v>3.4325111203279828E-4</v>
          </cell>
          <cell r="BG5">
            <v>2.6581817025303966E-4</v>
          </cell>
          <cell r="BH5">
            <v>2.7273916756436086E-4</v>
          </cell>
          <cell r="BI5">
            <v>2.2529009487865277E-4</v>
          </cell>
          <cell r="BJ5">
            <v>1.4201176088972055E-4</v>
          </cell>
          <cell r="BK5">
            <v>9.2409704219241937E-5</v>
          </cell>
          <cell r="BL5">
            <v>6.0765049600239455E-5</v>
          </cell>
          <cell r="BM5">
            <v>4.5914301407078022E-5</v>
          </cell>
          <cell r="BN5">
            <v>3.4969335732466964E-5</v>
          </cell>
          <cell r="BO5">
            <v>1.7572067569440359E-5</v>
          </cell>
          <cell r="BP5">
            <v>1.4854467615872158E-5</v>
          </cell>
          <cell r="BQ5">
            <v>1.3537800499447762E-5</v>
          </cell>
          <cell r="BR5">
            <v>1.2331360912814364E-5</v>
          </cell>
          <cell r="BS5">
            <v>1.117639196773548E-5</v>
          </cell>
          <cell r="BT5">
            <v>1.0044517495331732E-5</v>
          </cell>
          <cell r="BU5">
            <v>9.4803486087184955E-6</v>
          </cell>
          <cell r="BV5">
            <v>8.9200928505678132E-6</v>
          </cell>
          <cell r="BW5">
            <v>1.3935228970305745E-5</v>
          </cell>
          <cell r="BX5">
            <v>1.7836284319522153E-5</v>
          </cell>
          <cell r="BY5">
            <v>1.6721400818536928E-5</v>
          </cell>
        </row>
        <row r="6">
          <cell r="B6">
            <v>2.3305972452525674E-4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1.4120080628961001E-5</v>
          </cell>
          <cell r="J6">
            <v>0</v>
          </cell>
          <cell r="K6">
            <v>0</v>
          </cell>
          <cell r="L6">
            <v>0</v>
          </cell>
          <cell r="M6">
            <v>4.3065067965338097E-4</v>
          </cell>
          <cell r="N6">
            <v>3.0825750691837358E-4</v>
          </cell>
          <cell r="O6">
            <v>1.2715289593044367E-3</v>
          </cell>
          <cell r="P6">
            <v>2.6562809202333276E-4</v>
          </cell>
          <cell r="Q6">
            <v>2.7712623867428893E-4</v>
          </cell>
          <cell r="R6">
            <v>1.922638804003779E-4</v>
          </cell>
          <cell r="S6">
            <v>7.2046681762084875E-4</v>
          </cell>
          <cell r="T6">
            <v>1.0852382457307037E-3</v>
          </cell>
          <cell r="U6">
            <v>1.1743712882481615E-3</v>
          </cell>
          <cell r="V6">
            <v>1.3067279190148847E-3</v>
          </cell>
          <cell r="W6">
            <v>1.4855306066155478E-3</v>
          </cell>
          <cell r="X6">
            <v>1.7114359477529368E-3</v>
          </cell>
          <cell r="Y6">
            <v>2.0632041298238057E-3</v>
          </cell>
          <cell r="Z6">
            <v>2.4685389819351436E-3</v>
          </cell>
          <cell r="AA6">
            <v>2.8367726307072616E-3</v>
          </cell>
          <cell r="AB6">
            <v>3.1478986009959432E-3</v>
          </cell>
          <cell r="AC6">
            <v>3.3949639838939971E-3</v>
          </cell>
          <cell r="AD6">
            <v>3.6713939305963255E-3</v>
          </cell>
          <cell r="AE6">
            <v>4.2210029116747745E-3</v>
          </cell>
          <cell r="AF6">
            <v>4.5059128740984351E-3</v>
          </cell>
          <cell r="AG6">
            <v>4.7253864843714846E-3</v>
          </cell>
          <cell r="AH6">
            <v>5.3967904504467852E-3</v>
          </cell>
          <cell r="AI6">
            <v>6.5633635203184697E-3</v>
          </cell>
          <cell r="AJ6">
            <v>8.6760427012644008E-3</v>
          </cell>
          <cell r="AK6">
            <v>1.244773627139764E-2</v>
          </cell>
          <cell r="AL6">
            <v>1.9333045000488883E-2</v>
          </cell>
          <cell r="AM6">
            <v>3.1000438060603489E-2</v>
          </cell>
          <cell r="AN6">
            <v>4.9816838410784992E-2</v>
          </cell>
          <cell r="AO6">
            <v>7.7341681002310952E-2</v>
          </cell>
          <cell r="AP6">
            <v>0.10924468528350356</v>
          </cell>
          <cell r="AQ6">
            <v>0.12819902245043313</v>
          </cell>
          <cell r="AR6">
            <v>0.12270145571310025</v>
          </cell>
          <cell r="AS6">
            <v>9.8382832117171651E-2</v>
          </cell>
          <cell r="AT6">
            <v>7.1204215845216967E-2</v>
          </cell>
          <cell r="AU6">
            <v>4.8884868757406205E-2</v>
          </cell>
          <cell r="AV6">
            <v>3.249671103065456E-2</v>
          </cell>
          <cell r="AW6">
            <v>2.1808022534630534E-2</v>
          </cell>
          <cell r="AX6">
            <v>1.4789488071477086E-2</v>
          </cell>
          <cell r="AY6">
            <v>1.0614330095001368E-2</v>
          </cell>
          <cell r="AZ6">
            <v>8.3771258385634557E-3</v>
          </cell>
          <cell r="BA6">
            <v>7.1372765538321586E-3</v>
          </cell>
          <cell r="BB6">
            <v>6.2453340252521848E-3</v>
          </cell>
          <cell r="BC6">
            <v>5.622534074407365E-3</v>
          </cell>
          <cell r="BD6">
            <v>5.1100597433514907E-3</v>
          </cell>
          <cell r="BE6">
            <v>4.7094252173385757E-3</v>
          </cell>
          <cell r="BF6">
            <v>4.3822315509441136E-3</v>
          </cell>
          <cell r="BG6">
            <v>4.1052766763978489E-3</v>
          </cell>
          <cell r="BH6">
            <v>5.5671368696660582E-3</v>
          </cell>
          <cell r="BI6">
            <v>6.5208936191973538E-3</v>
          </cell>
          <cell r="BJ6">
            <v>5.5960059443947432E-3</v>
          </cell>
          <cell r="BK6">
            <v>4.6871633273325051E-3</v>
          </cell>
          <cell r="BL6">
            <v>3.7222411077299615E-3</v>
          </cell>
          <cell r="BM6">
            <v>3.1959964789951812E-3</v>
          </cell>
          <cell r="BN6">
            <v>2.6331338931223336E-3</v>
          </cell>
          <cell r="BO6">
            <v>1.3837333509513028E-3</v>
          </cell>
          <cell r="BP6">
            <v>1.1982043946324652E-3</v>
          </cell>
          <cell r="BQ6">
            <v>1.1055173474035869E-3</v>
          </cell>
          <cell r="BR6">
            <v>1.013138709426781E-3</v>
          </cell>
          <cell r="BS6">
            <v>9.2091666370893864E-4</v>
          </cell>
          <cell r="BT6">
            <v>8.2877102989838711E-4</v>
          </cell>
          <cell r="BU6">
            <v>7.827029152406023E-4</v>
          </cell>
          <cell r="BV6">
            <v>7.3664999332104123E-4</v>
          </cell>
          <cell r="BW6">
            <v>1.1510036503267571E-3</v>
          </cell>
          <cell r="BX6">
            <v>1.4732800047149303E-3</v>
          </cell>
          <cell r="BY6">
            <v>1.3811991884302743E-3</v>
          </cell>
        </row>
        <row r="7">
          <cell r="B7">
            <v>1.3819558488588529E-5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4.2460318551608679E-7</v>
          </cell>
          <cell r="J7">
            <v>0</v>
          </cell>
          <cell r="K7">
            <v>0</v>
          </cell>
          <cell r="L7">
            <v>0</v>
          </cell>
          <cell r="M7">
            <v>1.7503063002427621E-5</v>
          </cell>
          <cell r="N7">
            <v>1.5629188933280949E-5</v>
          </cell>
          <cell r="O7">
            <v>6.9697883995287812E-5</v>
          </cell>
          <cell r="P7">
            <v>1.8471743126306371E-5</v>
          </cell>
          <cell r="Q7">
            <v>1.9890822201206747E-5</v>
          </cell>
          <cell r="R7">
            <v>1.4971480986109175E-5</v>
          </cell>
          <cell r="S7">
            <v>5.9256636752369734E-5</v>
          </cell>
          <cell r="T7">
            <v>9.6690412477957766E-5</v>
          </cell>
          <cell r="U7">
            <v>1.1358143542803027E-4</v>
          </cell>
          <cell r="V7">
            <v>1.3782770301587932E-4</v>
          </cell>
          <cell r="W7">
            <v>1.7116955932266654E-4</v>
          </cell>
          <cell r="X7">
            <v>2.1566404548878902E-4</v>
          </cell>
          <cell r="Y7">
            <v>2.8458378695159859E-4</v>
          </cell>
          <cell r="Z7">
            <v>3.7273699508994548E-4</v>
          </cell>
          <cell r="AA7">
            <v>4.6899499117284652E-4</v>
          </cell>
          <cell r="AB7">
            <v>5.6966820842843972E-4</v>
          </cell>
          <cell r="AC7">
            <v>6.732147693074218E-4</v>
          </cell>
          <cell r="AD7">
            <v>7.9925907581175268E-4</v>
          </cell>
          <cell r="AE7">
            <v>1.012546192272116E-3</v>
          </cell>
          <cell r="AF7">
            <v>1.1970995140964933E-3</v>
          </cell>
          <cell r="AG7">
            <v>1.3955971480016042E-3</v>
          </cell>
          <cell r="AH7">
            <v>1.7747911590886626E-3</v>
          </cell>
          <cell r="AI7">
            <v>2.4042415876650625E-3</v>
          </cell>
          <cell r="AJ7">
            <v>3.5450711985732545E-3</v>
          </cell>
          <cell r="AK7">
            <v>5.6818741161982827E-3</v>
          </cell>
          <cell r="AL7">
            <v>9.8739823728706492E-3</v>
          </cell>
          <cell r="AM7">
            <v>1.7751356031047025E-2</v>
          </cell>
          <cell r="AN7">
            <v>3.2027031140499554E-2</v>
          </cell>
          <cell r="AO7">
            <v>5.5918532261816256E-2</v>
          </cell>
          <cell r="AP7">
            <v>8.8942811475936995E-2</v>
          </cell>
          <cell r="AQ7">
            <v>0.11758650472866067</v>
          </cell>
          <cell r="AR7">
            <v>0.12670414018883694</v>
          </cell>
          <cell r="AS7">
            <v>0.11399666524777323</v>
          </cell>
          <cell r="AT7">
            <v>9.1993610399104322E-2</v>
          </cell>
          <cell r="AU7">
            <v>6.9653416912278471E-2</v>
          </cell>
          <cell r="AV7">
            <v>5.0205342324817916E-2</v>
          </cell>
          <cell r="AW7">
            <v>3.5689903709553508E-2</v>
          </cell>
          <cell r="AX7">
            <v>2.4950176765272697E-2</v>
          </cell>
          <cell r="AY7">
            <v>1.7963189036118855E-2</v>
          </cell>
          <cell r="AZ7">
            <v>1.3909387579867521E-2</v>
          </cell>
          <cell r="BA7">
            <v>1.1468472943000694E-2</v>
          </cell>
          <cell r="BB7">
            <v>9.6601309443420866E-3</v>
          </cell>
          <cell r="BC7">
            <v>8.3814384400599518E-3</v>
          </cell>
          <cell r="BD7">
            <v>7.3752703908615373E-3</v>
          </cell>
          <cell r="BE7">
            <v>6.6183729764088851E-3</v>
          </cell>
          <cell r="BF7">
            <v>6.0292131809079877E-3</v>
          </cell>
          <cell r="BG7">
            <v>5.5551859914768379E-3</v>
          </cell>
          <cell r="BH7">
            <v>7.3969739146681739E-3</v>
          </cell>
          <cell r="BI7">
            <v>8.5263530734046734E-3</v>
          </cell>
          <cell r="BJ7">
            <v>7.2423756240078043E-3</v>
          </cell>
          <cell r="BK7">
            <v>6.0254118791523295E-3</v>
          </cell>
          <cell r="BL7">
            <v>4.7636396949727764E-3</v>
          </cell>
          <cell r="BM7">
            <v>4.0781557644274467E-3</v>
          </cell>
          <cell r="BN7">
            <v>3.3536554190391971E-3</v>
          </cell>
          <cell r="BO7">
            <v>1.7603280538295053E-3</v>
          </cell>
          <cell r="BP7">
            <v>1.5232341314157468E-3</v>
          </cell>
          <cell r="BQ7">
            <v>1.4048226393364059E-3</v>
          </cell>
          <cell r="BR7">
            <v>1.2871273356605583E-3</v>
          </cell>
          <cell r="BS7">
            <v>1.1698096775269982E-3</v>
          </cell>
          <cell r="BT7">
            <v>1.0526838117843624E-3</v>
          </cell>
          <cell r="BU7">
            <v>9.9413078243786534E-4</v>
          </cell>
          <cell r="BV7">
            <v>9.3561886351302003E-4</v>
          </cell>
          <cell r="BW7">
            <v>1.4618678977225228E-3</v>
          </cell>
          <cell r="BX7">
            <v>1.8711754979364736E-3</v>
          </cell>
          <cell r="BY7">
            <v>1.7542240185897168E-3</v>
          </cell>
        </row>
        <row r="8">
          <cell r="B8">
            <v>7.6766772326054362E-7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1.2336714722634856E-8</v>
          </cell>
          <cell r="J8">
            <v>0</v>
          </cell>
          <cell r="K8">
            <v>0</v>
          </cell>
          <cell r="L8">
            <v>0</v>
          </cell>
          <cell r="M8">
            <v>6.7606129098867258E-7</v>
          </cell>
          <cell r="N8">
            <v>7.4392443236435217E-7</v>
          </cell>
          <cell r="O8">
            <v>3.5721577302335203E-6</v>
          </cell>
          <cell r="P8">
            <v>1.1866724631833828E-6</v>
          </cell>
          <cell r="Q8">
            <v>1.3142405818111562E-6</v>
          </cell>
          <cell r="R8">
            <v>1.0740682195449412E-6</v>
          </cell>
          <cell r="S8">
            <v>4.4765174331487172E-6</v>
          </cell>
          <cell r="T8">
            <v>7.8780244968063963E-6</v>
          </cell>
          <cell r="U8">
            <v>1.0001444058465283E-5</v>
          </cell>
          <cell r="V8">
            <v>1.3177858984733984E-5</v>
          </cell>
          <cell r="W8">
            <v>1.7800044256150084E-5</v>
          </cell>
          <cell r="X8">
            <v>2.4418204851729793E-5</v>
          </cell>
          <cell r="Y8">
            <v>3.5109791275216782E-5</v>
          </cell>
          <cell r="Z8">
            <v>5.0107359638714933E-5</v>
          </cell>
          <cell r="AA8">
            <v>6.870025533809598E-5</v>
          </cell>
          <cell r="AB8">
            <v>9.0888066699637351E-5</v>
          </cell>
          <cell r="AC8">
            <v>1.1709471586635007E-4</v>
          </cell>
          <cell r="AD8">
            <v>1.5184088536669265E-4</v>
          </cell>
          <cell r="AE8">
            <v>2.1090852451106991E-4</v>
          </cell>
          <cell r="AF8">
            <v>2.7486244661948229E-4</v>
          </cell>
          <cell r="AG8">
            <v>3.5463085599646087E-4</v>
          </cell>
          <cell r="AH8">
            <v>4.9998611165850255E-4</v>
          </cell>
          <cell r="AI8">
            <v>7.5111798944533083E-4</v>
          </cell>
          <cell r="AJ8">
            <v>1.2295257446196424E-3</v>
          </cell>
          <cell r="AK8">
            <v>2.1917269225168803E-3</v>
          </cell>
          <cell r="AL8">
            <v>4.2435866701485709E-3</v>
          </cell>
          <cell r="AM8">
            <v>8.5188560076446956E-3</v>
          </cell>
          <cell r="AN8">
            <v>1.7191332304105092E-2</v>
          </cell>
          <cell r="AO8">
            <v>3.3642325863870316E-2</v>
          </cell>
          <cell r="AP8">
            <v>6.0088469191253442E-2</v>
          </cell>
          <cell r="AQ8">
            <v>8.9323116138274997E-2</v>
          </cell>
          <cell r="AR8">
            <v>0.10830273647925265</v>
          </cell>
          <cell r="AS8">
            <v>0.10952989085508637</v>
          </cell>
          <cell r="AT8">
            <v>9.9093673680137773E-2</v>
          </cell>
          <cell r="AU8">
            <v>8.3684923652368168E-2</v>
          </cell>
          <cell r="AV8">
            <v>6.6707361633581153E-2</v>
          </cell>
          <cell r="AW8">
            <v>5.1782246266327603E-2</v>
          </cell>
          <cell r="AX8">
            <v>3.8890623636838234E-2</v>
          </cell>
          <cell r="AY8">
            <v>2.9502311800337151E-2</v>
          </cell>
          <cell r="AZ8">
            <v>2.3574667723038928E-2</v>
          </cell>
          <cell r="BA8">
            <v>1.9664527689862932E-2</v>
          </cell>
          <cell r="BB8">
            <v>1.6482988061318336E-2</v>
          </cell>
          <cell r="BC8">
            <v>1.4064038490412198E-2</v>
          </cell>
          <cell r="BD8">
            <v>1.2087527766015085E-2</v>
          </cell>
          <cell r="BE8">
            <v>1.0566680381106931E-2</v>
          </cell>
          <cell r="BF8">
            <v>9.3808152712784414E-3</v>
          </cell>
          <cell r="BG8">
            <v>8.4420594551077831E-3</v>
          </cell>
          <cell r="BH8">
            <v>1.0914704767542412E-2</v>
          </cell>
          <cell r="BI8">
            <v>1.2227334420654117E-2</v>
          </cell>
          <cell r="BJ8">
            <v>1.0190712440046943E-2</v>
          </cell>
          <cell r="BK8">
            <v>8.3729147253816163E-3</v>
          </cell>
          <cell r="BL8">
            <v>6.5649973015816949E-3</v>
          </cell>
          <cell r="BM8">
            <v>5.5896510258668436E-3</v>
          </cell>
          <cell r="BN8">
            <v>4.5804811832058012E-3</v>
          </cell>
          <cell r="BO8">
            <v>2.3989216520794517E-3</v>
          </cell>
          <cell r="BP8">
            <v>2.0729273397876629E-3</v>
          </cell>
          <cell r="BQ8">
            <v>1.9101622986650755E-3</v>
          </cell>
          <cell r="BR8">
            <v>1.7492442815403902E-3</v>
          </cell>
          <cell r="BS8">
            <v>1.5893383507807508E-3</v>
          </cell>
          <cell r="BT8">
            <v>1.4299684541395135E-3</v>
          </cell>
          <cell r="BU8">
            <v>1.3503041767073864E-3</v>
          </cell>
          <cell r="BV8">
            <v>1.2707643105440772E-3</v>
          </cell>
          <cell r="BW8">
            <v>1.9854426537815658E-3</v>
          </cell>
          <cell r="BX8">
            <v>2.541308639244655E-3</v>
          </cell>
          <cell r="BY8">
            <v>2.3824640682940171E-3</v>
          </cell>
        </row>
        <row r="9">
          <cell r="B9">
            <v>4.4192715478335403E-8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3.8335275119914602E-10</v>
          </cell>
          <cell r="J9">
            <v>0</v>
          </cell>
          <cell r="K9">
            <v>0</v>
          </cell>
          <cell r="L9">
            <v>0</v>
          </cell>
          <cell r="M9">
            <v>2.746143113537248E-8</v>
          </cell>
          <cell r="N9">
            <v>3.6768841541553713E-8</v>
          </cell>
          <cell r="O9">
            <v>1.8931792321103351E-7</v>
          </cell>
          <cell r="P9">
            <v>7.7825067933937338E-8</v>
          </cell>
          <cell r="Q9">
            <v>8.833412366471944E-8</v>
          </cell>
          <cell r="R9">
            <v>7.8410614493724867E-8</v>
          </cell>
          <cell r="S9">
            <v>3.4300170004678376E-7</v>
          </cell>
          <cell r="T9">
            <v>6.4793666777685933E-7</v>
          </cell>
          <cell r="U9">
            <v>8.8467847846203597E-7</v>
          </cell>
          <cell r="V9">
            <v>1.2594874241464222E-6</v>
          </cell>
          <cell r="W9">
            <v>1.8411350379758486E-6</v>
          </cell>
          <cell r="X9">
            <v>2.735840884019371E-6</v>
          </cell>
          <cell r="Y9">
            <v>4.2636575877642896E-6</v>
          </cell>
          <cell r="Z9">
            <v>6.5939777116680227E-6</v>
          </cell>
          <cell r="AA9">
            <v>9.7945886281539991E-6</v>
          </cell>
          <cell r="AB9">
            <v>1.4028199948913129E-5</v>
          </cell>
          <cell r="AC9">
            <v>1.9578892214621521E-5</v>
          </cell>
          <cell r="AD9">
            <v>2.75509571758088E-5</v>
          </cell>
          <cell r="AE9">
            <v>4.1682423623617229E-5</v>
          </cell>
          <cell r="AF9">
            <v>5.9483771133160622E-5</v>
          </cell>
          <cell r="AG9">
            <v>8.4364391313225808E-5</v>
          </cell>
          <cell r="AH9">
            <v>1.3094935662837456E-4</v>
          </cell>
          <cell r="AI9">
            <v>2.165525630645775E-4</v>
          </cell>
          <cell r="AJ9">
            <v>3.9033913294764271E-4</v>
          </cell>
          <cell r="AK9">
            <v>7.674827415531237E-4</v>
          </cell>
          <cell r="AL9">
            <v>1.6412708276674318E-3</v>
          </cell>
          <cell r="AM9">
            <v>3.6454208071955881E-3</v>
          </cell>
          <cell r="AN9">
            <v>8.1496745702709043E-3</v>
          </cell>
          <cell r="AO9">
            <v>1.7695926853900527E-2</v>
          </cell>
          <cell r="AP9">
            <v>3.5121155300146194E-2</v>
          </cell>
          <cell r="AQ9">
            <v>5.8076685630760551E-2</v>
          </cell>
          <cell r="AR9">
            <v>7.8391783290606837E-2</v>
          </cell>
          <cell r="AS9">
            <v>8.8218992724268669E-2</v>
          </cell>
          <cell r="AT9">
            <v>8.8704149170193827E-2</v>
          </cell>
          <cell r="AU9">
            <v>8.3052065055180452E-2</v>
          </cell>
          <cell r="AV9">
            <v>7.3100159309117368E-2</v>
          </cell>
          <cell r="AW9">
            <v>6.2271703599544051E-2</v>
          </cell>
          <cell r="AX9">
            <v>5.092198000511125E-2</v>
          </cell>
          <cell r="AY9">
            <v>4.1648869720945531E-2</v>
          </cell>
          <cell r="AZ9">
            <v>3.5472287354910793E-2</v>
          </cell>
          <cell r="BA9">
            <v>3.1132890025393697E-2</v>
          </cell>
          <cell r="BB9">
            <v>2.7098574039781501E-2</v>
          </cell>
          <cell r="BC9">
            <v>2.3699869740799146E-2</v>
          </cell>
          <cell r="BD9">
            <v>2.0633078664696197E-2</v>
          </cell>
          <cell r="BE9">
            <v>1.8089732944772331E-2</v>
          </cell>
          <cell r="BF9">
            <v>1.5981900082098117E-2</v>
          </cell>
          <cell r="BG9">
            <v>1.4234984963189564E-2</v>
          </cell>
          <cell r="BH9">
            <v>1.8019562529204138E-2</v>
          </cell>
          <cell r="BI9">
            <v>1.957533837686758E-2</v>
          </cell>
          <cell r="BJ9">
            <v>1.5873316088869042E-2</v>
          </cell>
          <cell r="BK9">
            <v>1.2762574322761849E-2</v>
          </cell>
          <cell r="BL9">
            <v>9.8485981488630539E-3</v>
          </cell>
          <cell r="BM9">
            <v>8.2920118060380837E-3</v>
          </cell>
          <cell r="BN9">
            <v>6.7443402799695915E-3</v>
          </cell>
          <cell r="BO9">
            <v>3.5150038799445812E-3</v>
          </cell>
          <cell r="BP9">
            <v>3.0278633028510858E-3</v>
          </cell>
          <cell r="BQ9">
            <v>2.7846451787157406E-3</v>
          </cell>
          <cell r="BR9">
            <v>2.5469703721846884E-3</v>
          </cell>
          <cell r="BS9">
            <v>2.3124485265859974E-3</v>
          </cell>
          <cell r="BT9">
            <v>2.0796682637614248E-3</v>
          </cell>
          <cell r="BU9">
            <v>1.9633150150710223E-3</v>
          </cell>
          <cell r="BV9">
            <v>1.8474007714551421E-3</v>
          </cell>
          <cell r="BW9">
            <v>2.8860454137596245E-3</v>
          </cell>
          <cell r="BX9">
            <v>3.6938781896719316E-3</v>
          </cell>
          <cell r="BY9">
            <v>3.4629454250818315E-3</v>
          </cell>
        </row>
        <row r="10">
          <cell r="B10">
            <v>2.7011533017942521E-9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1.3178485664402547E-11</v>
          </cell>
          <cell r="J10">
            <v>0</v>
          </cell>
          <cell r="K10">
            <v>0</v>
          </cell>
          <cell r="L10">
            <v>0</v>
          </cell>
          <cell r="M10">
            <v>1.2105833043554213E-9</v>
          </cell>
          <cell r="N10">
            <v>1.9446314754247545E-9</v>
          </cell>
          <cell r="O10">
            <v>1.0681349217206507E-8</v>
          </cell>
          <cell r="P10">
            <v>5.3554005078515761E-9</v>
          </cell>
          <cell r="Q10">
            <v>6.2039491204050659E-9</v>
          </cell>
          <cell r="R10">
            <v>5.976863130282689E-9</v>
          </cell>
          <cell r="S10">
            <v>2.7338299303233493E-8</v>
          </cell>
          <cell r="T10">
            <v>5.5128341956407991E-8</v>
          </cell>
          <cell r="U10">
            <v>8.0496995715051692E-8</v>
          </cell>
          <cell r="V10">
            <v>1.2311281126609029E-7</v>
          </cell>
          <cell r="W10">
            <v>1.9361103930286249E-7</v>
          </cell>
          <cell r="X10">
            <v>3.0973288637922782E-7</v>
          </cell>
          <cell r="Y10">
            <v>5.1987537853342698E-7</v>
          </cell>
          <cell r="Z10">
            <v>8.6556640239318233E-7</v>
          </cell>
          <cell r="AA10">
            <v>1.383360108767308E-6</v>
          </cell>
          <cell r="AB10">
            <v>2.1296343639278701E-6</v>
          </cell>
          <cell r="AC10">
            <v>3.195929606215762E-6</v>
          </cell>
          <cell r="AD10">
            <v>4.8425731077281646E-6</v>
          </cell>
          <cell r="AE10">
            <v>7.9163064618655351E-6</v>
          </cell>
          <cell r="AF10">
            <v>1.2268774319952504E-5</v>
          </cell>
          <cell r="AG10">
            <v>1.8964098451086984E-5</v>
          </cell>
          <cell r="AH10">
            <v>3.2117824425122406E-5</v>
          </cell>
          <cell r="AI10">
            <v>5.791799085185641E-5</v>
          </cell>
          <cell r="AJ10">
            <v>1.1378008108953461E-4</v>
          </cell>
          <cell r="AK10">
            <v>2.441659847933073E-4</v>
          </cell>
          <cell r="AL10">
            <v>5.7036636922600632E-4</v>
          </cell>
          <cell r="AM10">
            <v>1.3854414598591213E-3</v>
          </cell>
          <cell r="AN10">
            <v>3.3898146436662081E-3</v>
          </cell>
          <cell r="AO10">
            <v>8.0644945675394618E-3</v>
          </cell>
          <cell r="AP10">
            <v>1.7554488720966228E-2</v>
          </cell>
          <cell r="AQ10">
            <v>3.1863199878496819E-2</v>
          </cell>
          <cell r="AR10">
            <v>4.7242825712708984E-2</v>
          </cell>
          <cell r="AS10">
            <v>5.8392351268231869E-2</v>
          </cell>
          <cell r="AT10">
            <v>6.4459783346444449E-2</v>
          </cell>
          <cell r="AU10">
            <v>6.6195717361174022E-2</v>
          </cell>
          <cell r="AV10">
            <v>6.3797400331714951E-2</v>
          </cell>
          <cell r="AW10">
            <v>5.9347943316544916E-2</v>
          </cell>
          <cell r="AX10">
            <v>5.2822652177976173E-2</v>
          </cell>
          <cell r="AY10">
            <v>4.6830095101573384E-2</v>
          </cell>
          <cell r="AZ10">
            <v>4.3023116951314243E-2</v>
          </cell>
          <cell r="BA10">
            <v>4.049137634040275E-2</v>
          </cell>
          <cell r="BB10">
            <v>3.7558098200984873E-2</v>
          </cell>
          <cell r="BC10">
            <v>3.4756588973590151E-2</v>
          </cell>
          <cell r="BD10">
            <v>3.1777664501569623E-2</v>
          </cell>
          <cell r="BE10">
            <v>2.9036022325893748E-2</v>
          </cell>
          <cell r="BF10">
            <v>2.6532864710716614E-2</v>
          </cell>
          <cell r="BG10">
            <v>2.4263811836862648E-2</v>
          </cell>
          <cell r="BH10">
            <v>3.1552009447708994E-2</v>
          </cell>
          <cell r="BI10">
            <v>3.4844392688653865E-2</v>
          </cell>
          <cell r="BJ10">
            <v>2.8274574690762482E-2</v>
          </cell>
          <cell r="BK10">
            <v>2.2540508724455791E-2</v>
          </cell>
          <cell r="BL10">
            <v>1.7175120492091023E-2</v>
          </cell>
          <cell r="BM10">
            <v>1.4269702665200376E-2</v>
          </cell>
          <cell r="BN10">
            <v>1.1472004547310313E-2</v>
          </cell>
          <cell r="BO10">
            <v>5.9239985591520933E-3</v>
          </cell>
          <cell r="BP10">
            <v>5.0681552479972325E-3</v>
          </cell>
          <cell r="BQ10">
            <v>4.6386375254273025E-3</v>
          </cell>
          <cell r="BR10">
            <v>4.2288991262552046E-3</v>
          </cell>
          <cell r="BS10">
            <v>3.8313347797838192E-3</v>
          </cell>
          <cell r="BT10">
            <v>3.440998477106689E-3</v>
          </cell>
          <cell r="BU10">
            <v>3.2457593641576688E-3</v>
          </cell>
          <cell r="BV10">
            <v>3.0525772912663855E-3</v>
          </cell>
          <cell r="BW10">
            <v>4.7666824167594086E-3</v>
          </cell>
          <cell r="BX10">
            <v>6.0996802378547078E-3</v>
          </cell>
          <cell r="BY10">
            <v>5.7179541137569361E-3</v>
          </cell>
        </row>
        <row r="11">
          <cell r="B11">
            <v>1.9180022552171643E-10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5.6447412970960247E-13</v>
          </cell>
          <cell r="J11">
            <v>0</v>
          </cell>
          <cell r="K11">
            <v>0</v>
          </cell>
          <cell r="L11">
            <v>0</v>
          </cell>
          <cell r="M11">
            <v>6.4647615212541904E-11</v>
          </cell>
          <cell r="N11">
            <v>1.2204056460066042E-10</v>
          </cell>
          <cell r="O11">
            <v>7.0916946000975475E-10</v>
          </cell>
          <cell r="P11">
            <v>4.240467468132613E-10</v>
          </cell>
          <cell r="Q11">
            <v>4.9859680061712733E-10</v>
          </cell>
          <cell r="R11">
            <v>5.1861318305640024E-10</v>
          </cell>
          <cell r="S11">
            <v>2.4659023530676835E-9</v>
          </cell>
          <cell r="T11">
            <v>5.2625326539313111E-9</v>
          </cell>
          <cell r="U11">
            <v>8.1443585281487711E-9</v>
          </cell>
          <cell r="V11">
            <v>1.3255214293539894E-8</v>
          </cell>
          <cell r="W11">
            <v>2.220689348622676E-8</v>
          </cell>
          <cell r="X11">
            <v>3.7861139735277781E-8</v>
          </cell>
          <cell r="Y11">
            <v>6.7729390474274495E-8</v>
          </cell>
          <cell r="Z11">
            <v>1.2009956143504578E-7</v>
          </cell>
          <cell r="AA11">
            <v>2.0425078724043524E-7</v>
          </cell>
          <cell r="AB11">
            <v>3.3416397589629632E-7</v>
          </cell>
          <cell r="AC11">
            <v>5.3292258311320467E-7</v>
          </cell>
          <cell r="AD11">
            <v>8.5899062167794846E-7</v>
          </cell>
          <cell r="AE11">
            <v>1.4980224343188742E-6</v>
          </cell>
          <cell r="AF11">
            <v>2.4874781950656083E-6</v>
          </cell>
          <cell r="AG11">
            <v>4.1313650553679205E-6</v>
          </cell>
          <cell r="AH11">
            <v>7.5228546529423214E-6</v>
          </cell>
          <cell r="AI11">
            <v>1.457090512557011E-5</v>
          </cell>
          <cell r="AJ11">
            <v>3.07039741616037E-5</v>
          </cell>
          <cell r="AK11">
            <v>7.0757563119408092E-5</v>
          </cell>
          <cell r="AL11">
            <v>1.7756302789047053E-4</v>
          </cell>
          <cell r="AM11">
            <v>4.6364884988005039E-4</v>
          </cell>
          <cell r="AN11">
            <v>1.2199195816431385E-3</v>
          </cell>
          <cell r="AO11">
            <v>3.1231214497705476E-3</v>
          </cell>
          <cell r="AP11">
            <v>7.3210657987925285E-3</v>
          </cell>
          <cell r="AQ11">
            <v>1.4319763495608919E-2</v>
          </cell>
          <cell r="AR11">
            <v>2.2895735547363422E-2</v>
          </cell>
          <cell r="AS11">
            <v>3.0523217056966149E-2</v>
          </cell>
          <cell r="AT11">
            <v>3.6349060547974758E-2</v>
          </cell>
          <cell r="AU11">
            <v>4.0268126506107824E-2</v>
          </cell>
          <cell r="AV11">
            <v>4.1854240799628004E-2</v>
          </cell>
          <cell r="AW11">
            <v>4.1957067043947929E-2</v>
          </cell>
          <cell r="AX11">
            <v>4.0208340999736074E-2</v>
          </cell>
          <cell r="AY11">
            <v>3.8339073162866492E-2</v>
          </cell>
          <cell r="AZ11">
            <v>3.7835075656244659E-2</v>
          </cell>
          <cell r="BA11">
            <v>3.818343334953489E-2</v>
          </cell>
          <cell r="BB11">
            <v>3.7918412618914495E-2</v>
          </cell>
          <cell r="BC11">
            <v>3.7489477992984702E-2</v>
          </cell>
          <cell r="BD11">
            <v>3.6532844463179136E-2</v>
          </cell>
          <cell r="BE11">
            <v>3.5489202045144878E-2</v>
          </cell>
          <cell r="BF11">
            <v>3.4384829642312001E-2</v>
          </cell>
          <cell r="BG11">
            <v>3.3237768435166418E-2</v>
          </cell>
          <cell r="BH11">
            <v>4.6674627068726278E-2</v>
          </cell>
          <cell r="BI11">
            <v>5.6403626792288615E-2</v>
          </cell>
          <cell r="BJ11">
            <v>4.9377844815621935E-2</v>
          </cell>
          <cell r="BK11">
            <v>4.1886377399108124E-2</v>
          </cell>
          <cell r="BL11">
            <v>3.3529621007474537E-2</v>
          </cell>
          <cell r="BM11">
            <v>2.8930348837104217E-2</v>
          </cell>
          <cell r="BN11">
            <v>2.3904503869078979E-2</v>
          </cell>
          <cell r="BO11">
            <v>1.2583042230989565E-2</v>
          </cell>
          <cell r="BP11">
            <v>1.0906172396043377E-2</v>
          </cell>
          <cell r="BQ11">
            <v>1.0067692069373392E-2</v>
          </cell>
          <cell r="BR11">
            <v>9.2289505063547633E-3</v>
          </cell>
          <cell r="BS11">
            <v>8.3900702145726508E-3</v>
          </cell>
          <cell r="BT11">
            <v>7.5511185276628283E-3</v>
          </cell>
          <cell r="BU11">
            <v>7.1316393252490165E-3</v>
          </cell>
          <cell r="BV11">
            <v>6.7121444014851053E-3</v>
          </cell>
          <cell r="BW11">
            <v>1.0487740398027065E-2</v>
          </cell>
          <cell r="BX11">
            <v>1.3424314161056983E-2</v>
          </cell>
          <cell r="BY11">
            <v>1.2585295862941107E-2</v>
          </cell>
        </row>
        <row r="12">
          <cell r="B12">
            <v>3.5120150070916982E-3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3.9514396782923977E-7</v>
          </cell>
          <cell r="J12">
            <v>0</v>
          </cell>
          <cell r="K12">
            <v>0</v>
          </cell>
          <cell r="L12">
            <v>0</v>
          </cell>
          <cell r="M12">
            <v>1.7699649001179395E-5</v>
          </cell>
          <cell r="N12">
            <v>1.6822374687513498E-5</v>
          </cell>
          <cell r="O12">
            <v>7.6639889725826457E-5</v>
          </cell>
          <cell r="P12">
            <v>2.1687501920213309E-5</v>
          </cell>
          <cell r="Q12">
            <v>2.3726000142422491E-5</v>
          </cell>
          <cell r="R12">
            <v>1.7959692800979422E-5</v>
          </cell>
          <cell r="S12">
            <v>7.2281349100621452E-5</v>
          </cell>
          <cell r="T12">
            <v>1.2088199755034731E-4</v>
          </cell>
          <cell r="U12">
            <v>1.4567424787875169E-4</v>
          </cell>
          <cell r="V12">
            <v>1.8153610721472816E-4</v>
          </cell>
          <cell r="W12">
            <v>2.3181189226136636E-4</v>
          </cell>
          <cell r="X12">
            <v>3.0076366362332329E-4</v>
          </cell>
          <cell r="Y12">
            <v>4.0948262015003773E-4</v>
          </cell>
          <cell r="Z12">
            <v>5.5461783890743959E-4</v>
          </cell>
          <cell r="AA12">
            <v>7.2386548512393513E-4</v>
          </cell>
          <cell r="AB12">
            <v>9.1523650648245064E-4</v>
          </cell>
          <cell r="AC12">
            <v>1.1306265307053876E-3</v>
          </cell>
          <cell r="AD12">
            <v>1.4093755805099258E-3</v>
          </cell>
          <cell r="AE12">
            <v>1.8831874320607476E-3</v>
          </cell>
          <cell r="AF12">
            <v>2.3570751533304604E-3</v>
          </cell>
          <cell r="AG12">
            <v>2.9144497987738916E-3</v>
          </cell>
          <cell r="AH12">
            <v>3.9231484862175996E-3</v>
          </cell>
          <cell r="AI12">
            <v>5.5853289509980612E-3</v>
          </cell>
          <cell r="AJ12">
            <v>8.5445183097473624E-3</v>
          </cell>
          <cell r="AK12">
            <v>1.3865367527912429E-2</v>
          </cell>
          <cell r="AL12">
            <v>2.3686498228380471E-2</v>
          </cell>
          <cell r="AM12">
            <v>4.04973725359399E-2</v>
          </cell>
          <cell r="AN12">
            <v>6.7206231350715073E-2</v>
          </cell>
          <cell r="AO12">
            <v>0.10453903274688588</v>
          </cell>
          <cell r="AP12">
            <v>0.14384056500115411</v>
          </cell>
          <cell r="AQ12">
            <v>0.16021157867632854</v>
          </cell>
          <cell r="AR12">
            <v>0.1420669470011533</v>
          </cell>
          <cell r="AS12">
            <v>0.10325505505480348</v>
          </cell>
          <cell r="AT12">
            <v>6.6420632583285649E-2</v>
          </cell>
          <cell r="AU12">
            <v>3.9843551156598704E-2</v>
          </cell>
          <cell r="AV12">
            <v>2.2817557547658022E-2</v>
          </cell>
          <cell r="AW12">
            <v>1.305011920697682E-2</v>
          </cell>
          <cell r="AX12">
            <v>7.4774043558526156E-3</v>
          </cell>
          <cell r="AY12">
            <v>4.5042302232565059E-3</v>
          </cell>
          <cell r="AZ12">
            <v>2.9685056987687249E-3</v>
          </cell>
          <cell r="BA12">
            <v>2.1049392727013512E-3</v>
          </cell>
          <cell r="BB12">
            <v>1.527603220378065E-3</v>
          </cell>
          <cell r="BC12">
            <v>1.1381875629883653E-3</v>
          </cell>
          <cell r="BD12">
            <v>8.5507195619311048E-4</v>
          </cell>
          <cell r="BE12">
            <v>6.5088572416418492E-4</v>
          </cell>
          <cell r="BF12">
            <v>5.0028756905995007E-4</v>
          </cell>
          <cell r="BG12">
            <v>3.8776002611473219E-4</v>
          </cell>
          <cell r="BH12">
            <v>3.9833733864541728E-4</v>
          </cell>
          <cell r="BI12">
            <v>3.295024318091097E-4</v>
          </cell>
          <cell r="BJ12">
            <v>2.0793498409968345E-4</v>
          </cell>
          <cell r="BK12">
            <v>1.3541976317904951E-4</v>
          </cell>
          <cell r="BL12">
            <v>8.9098263177591177E-5</v>
          </cell>
          <cell r="BM12">
            <v>6.7348450353939219E-5</v>
          </cell>
          <cell r="BN12">
            <v>5.1305781450935751E-5</v>
          </cell>
          <cell r="BO12">
            <v>2.5784531027880064E-5</v>
          </cell>
          <cell r="BP12">
            <v>2.1798434826884538E-5</v>
          </cell>
          <cell r="BQ12">
            <v>1.9867046505314487E-5</v>
          </cell>
          <cell r="BR12">
            <v>1.8096931441102044E-5</v>
          </cell>
          <cell r="BS12">
            <v>1.6402117074930794E-5</v>
          </cell>
          <cell r="BT12">
            <v>1.474108555723822E-5</v>
          </cell>
          <cell r="BU12">
            <v>1.3913157034376886E-5</v>
          </cell>
          <cell r="BV12">
            <v>1.3090951435255439E-5</v>
          </cell>
          <cell r="BW12">
            <v>2.0451079039929774E-5</v>
          </cell>
          <cell r="BX12">
            <v>2.61761988428842E-5</v>
          </cell>
          <cell r="BY12">
            <v>2.4540017254164889E-5</v>
          </cell>
        </row>
        <row r="13">
          <cell r="B13">
            <v>4.3980582335259076E-3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8.8394161029310674E-9</v>
          </cell>
          <cell r="J13">
            <v>0</v>
          </cell>
          <cell r="K13">
            <v>0</v>
          </cell>
          <cell r="L13">
            <v>0</v>
          </cell>
          <cell r="M13">
            <v>5.6699798791828497E-7</v>
          </cell>
          <cell r="N13">
            <v>7.0309353907645865E-7</v>
          </cell>
          <cell r="O13">
            <v>3.5082990194074231E-6</v>
          </cell>
          <cell r="P13">
            <v>1.3199110548470081E-6</v>
          </cell>
          <cell r="Q13">
            <v>1.5025662748855783E-6</v>
          </cell>
          <cell r="R13">
            <v>1.2387721100984144E-6</v>
          </cell>
          <cell r="S13">
            <v>5.3242747379069861E-6</v>
          </cell>
          <cell r="T13">
            <v>9.8013824644624899E-6</v>
          </cell>
          <cell r="U13">
            <v>1.303262649527562E-5</v>
          </cell>
          <cell r="V13">
            <v>1.8006967333983945E-5</v>
          </cell>
          <cell r="W13">
            <v>2.5542976099450762E-5</v>
          </cell>
          <cell r="X13">
            <v>3.6863127175212109E-5</v>
          </cell>
          <cell r="Y13">
            <v>5.5889306707718786E-5</v>
          </cell>
          <cell r="Z13">
            <v>8.4323802549975761E-5</v>
          </cell>
          <cell r="AA13">
            <v>1.2267001188870298E-4</v>
          </cell>
          <cell r="AB13">
            <v>1.7287346293038934E-4</v>
          </cell>
          <cell r="AC13">
            <v>2.3832811394889608E-4</v>
          </cell>
          <cell r="AD13">
            <v>3.3211107307072705E-4</v>
          </cell>
          <cell r="AE13">
            <v>4.9763896346550725E-4</v>
          </cell>
          <cell r="AF13">
            <v>7.0128791770381743E-4</v>
          </cell>
          <cell r="AG13">
            <v>9.7866115423831746E-4</v>
          </cell>
          <cell r="AH13">
            <v>1.4870219350959603E-3</v>
          </cell>
          <cell r="AI13">
            <v>2.3869644836866295E-3</v>
          </cell>
          <cell r="AJ13">
            <v>4.1160198017987787E-3</v>
          </cell>
          <cell r="AK13">
            <v>7.5151690741945545E-3</v>
          </cell>
          <cell r="AL13">
            <v>1.4412531884167348E-2</v>
          </cell>
          <cell r="AM13">
            <v>2.7589217458259211E-2</v>
          </cell>
          <cell r="AN13">
            <v>5.1037012448670781E-2</v>
          </cell>
          <cell r="AO13">
            <v>8.8045456346944759E-2</v>
          </cell>
          <cell r="AP13">
            <v>0.13351137028717275</v>
          </cell>
          <cell r="AQ13">
            <v>0.16262834590149161</v>
          </cell>
          <cell r="AR13">
            <v>0.15634724202355607</v>
          </cell>
          <cell r="AS13">
            <v>0.12199375087857847</v>
          </cell>
          <cell r="AT13">
            <v>8.3404867605026828E-2</v>
          </cell>
          <cell r="AU13">
            <v>5.2645161515727804E-2</v>
          </cell>
          <cell r="AV13">
            <v>3.1418484632323718E-2</v>
          </cell>
          <cell r="AW13">
            <v>1.8557771476621313E-2</v>
          </cell>
          <cell r="AX13">
            <v>1.0896288002928793E-2</v>
          </cell>
          <cell r="AY13">
            <v>6.6818413503623563E-3</v>
          </cell>
          <cell r="AZ13">
            <v>4.4587160026902852E-3</v>
          </cell>
          <cell r="BA13">
            <v>3.1874357397257791E-3</v>
          </cell>
          <cell r="BB13">
            <v>2.3246993805365332E-3</v>
          </cell>
          <cell r="BC13">
            <v>1.7366312125436645E-3</v>
          </cell>
          <cell r="BD13">
            <v>1.3059343772301583E-3</v>
          </cell>
          <cell r="BE13">
            <v>9.9399761752503452E-4</v>
          </cell>
          <cell r="BF13">
            <v>7.6344427390774572E-4</v>
          </cell>
          <cell r="BG13">
            <v>5.9107492131436792E-4</v>
          </cell>
          <cell r="BH13">
            <v>6.060550108529277E-4</v>
          </cell>
          <cell r="BI13">
            <v>5.0013107199281233E-4</v>
          </cell>
          <cell r="BJ13">
            <v>3.1501035025144179E-4</v>
          </cell>
          <cell r="BK13">
            <v>2.0487154601560987E-4</v>
          </cell>
          <cell r="BL13">
            <v>1.3466912651799868E-4</v>
          </cell>
          <cell r="BM13">
            <v>1.0173572987027704E-4</v>
          </cell>
          <cell r="BN13">
            <v>7.7475335225394955E-5</v>
          </cell>
          <cell r="BO13">
            <v>3.8928942639400575E-5</v>
          </cell>
          <cell r="BP13">
            <v>3.2907381108453832E-5</v>
          </cell>
          <cell r="BQ13">
            <v>2.9990082478836724E-5</v>
          </cell>
          <cell r="BR13">
            <v>2.7317273337558103E-5</v>
          </cell>
          <cell r="BS13">
            <v>2.4758622147757925E-5</v>
          </cell>
          <cell r="BT13">
            <v>2.2251190460758917E-5</v>
          </cell>
          <cell r="BU13">
            <v>2.1001396773413097E-5</v>
          </cell>
          <cell r="BV13">
            <v>1.9760281103331852E-5</v>
          </cell>
          <cell r="BW13">
            <v>3.0870081703430508E-5</v>
          </cell>
          <cell r="BX13">
            <v>3.9511911362499676E-5</v>
          </cell>
          <cell r="BY13">
            <v>3.7042160338238396E-5</v>
          </cell>
        </row>
        <row r="14">
          <cell r="B14">
            <v>9.5528352625220692E-3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2.8289373745984653E-10</v>
          </cell>
          <cell r="J14">
            <v>0</v>
          </cell>
          <cell r="K14">
            <v>0</v>
          </cell>
          <cell r="L14">
            <v>0</v>
          </cell>
          <cell r="M14">
            <v>2.5432261845310734E-8</v>
          </cell>
          <cell r="N14">
            <v>4.0340193349677781E-8</v>
          </cell>
          <cell r="O14">
            <v>2.1951969487633134E-7</v>
          </cell>
          <cell r="P14">
            <v>1.0724594247422746E-7</v>
          </cell>
          <cell r="Q14">
            <v>1.2674624647728828E-7</v>
          </cell>
          <cell r="R14">
            <v>1.1357297463512408E-7</v>
          </cell>
          <cell r="S14">
            <v>5.1828189804167578E-7</v>
          </cell>
          <cell r="T14">
            <v>1.0411117214902427E-6</v>
          </cell>
          <cell r="U14">
            <v>1.5133769468549934E-6</v>
          </cell>
          <cell r="V14">
            <v>2.2956373476441941E-6</v>
          </cell>
          <cell r="W14">
            <v>3.579668911878439E-6</v>
          </cell>
          <cell r="X14">
            <v>5.6825790442236754E-6</v>
          </cell>
          <cell r="Y14">
            <v>9.4802439885688243E-6</v>
          </cell>
          <cell r="Z14">
            <v>1.5731655708651427E-5</v>
          </cell>
          <cell r="AA14">
            <v>2.516125631515429E-5</v>
          </cell>
          <cell r="AB14">
            <v>3.8948075149399934E-5</v>
          </cell>
          <cell r="AC14">
            <v>5.89931471693365E-5</v>
          </cell>
          <cell r="AD14">
            <v>9.0390793065703664E-5</v>
          </cell>
          <cell r="AE14">
            <v>1.4925429851979458E-4</v>
          </cell>
          <cell r="AF14">
            <v>2.3250141896762866E-4</v>
          </cell>
          <cell r="AG14">
            <v>3.5922965822694688E-4</v>
          </cell>
          <cell r="AH14">
            <v>6.0401917321281748E-4</v>
          </cell>
          <cell r="AI14">
            <v>1.0710666621116299E-3</v>
          </cell>
          <cell r="AJ14">
            <v>2.0387987995649846E-3</v>
          </cell>
          <cell r="AK14">
            <v>4.1024228379323204E-3</v>
          </cell>
          <cell r="AL14">
            <v>8.6566408147101294E-3</v>
          </cell>
          <cell r="AM14">
            <v>1.8204397014085109E-2</v>
          </cell>
          <cell r="AN14">
            <v>3.6907805311768856E-2</v>
          </cell>
          <cell r="AO14">
            <v>6.9614394051959447E-2</v>
          </cell>
          <cell r="AP14">
            <v>0.11509565724477479</v>
          </cell>
          <cell r="AQ14">
            <v>0.1523511930849383</v>
          </cell>
          <cell r="AR14">
            <v>0.15858647102735363</v>
          </cell>
          <cell r="AS14">
            <v>0.13339389581519179</v>
          </cell>
          <cell r="AT14">
            <v>9.7863083394614109E-2</v>
          </cell>
          <cell r="AU14">
            <v>6.5963294287956636E-2</v>
          </cell>
          <cell r="AV14">
            <v>4.18229142498057E-2</v>
          </cell>
          <cell r="AW14">
            <v>2.6101854543025733E-2</v>
          </cell>
          <cell r="AX14">
            <v>1.6107907121280053E-2</v>
          </cell>
          <cell r="AY14">
            <v>1.0327506381186891E-2</v>
          </cell>
          <cell r="AZ14">
            <v>7.1687672944392572E-3</v>
          </cell>
          <cell r="BA14">
            <v>5.3047023902903752E-3</v>
          </cell>
          <cell r="BB14">
            <v>3.9869496443209517E-3</v>
          </cell>
          <cell r="BC14">
            <v>3.0563481592045293E-3</v>
          </cell>
          <cell r="BD14">
            <v>2.3494276872140425E-3</v>
          </cell>
          <cell r="BE14">
            <v>1.8217473705352772E-3</v>
          </cell>
          <cell r="BF14">
            <v>1.4211223382712391E-3</v>
          </cell>
          <cell r="BG14">
            <v>1.114522093648315E-3</v>
          </cell>
          <cell r="BH14">
            <v>1.1601460530000864E-3</v>
          </cell>
          <cell r="BI14">
            <v>9.7080974547618956E-4</v>
          </cell>
          <cell r="BJ14">
            <v>6.1691135581284169E-4</v>
          </cell>
          <cell r="BK14">
            <v>4.0340747646172619E-4</v>
          </cell>
          <cell r="BL14">
            <v>2.6603224778111429E-4</v>
          </cell>
          <cell r="BM14">
            <v>2.0134522428131934E-4</v>
          </cell>
          <cell r="BN14">
            <v>1.5348655238248533E-4</v>
          </cell>
          <cell r="BO14">
            <v>7.7163412194791815E-5</v>
          </cell>
          <cell r="BP14">
            <v>6.5245532242242171E-5</v>
          </cell>
          <cell r="BQ14">
            <v>5.9469433856917937E-5</v>
          </cell>
          <cell r="BR14">
            <v>5.4172861980956965E-5</v>
          </cell>
          <cell r="BS14">
            <v>4.9100297558378701E-5</v>
          </cell>
          <cell r="BT14">
            <v>4.4128273558312391E-5</v>
          </cell>
          <cell r="BU14">
            <v>4.1649957349672024E-5</v>
          </cell>
          <cell r="BV14">
            <v>3.9188683920285075E-5</v>
          </cell>
          <cell r="BW14">
            <v>6.1221789882244643E-5</v>
          </cell>
          <cell r="BX14">
            <v>7.8360365391627317E-5</v>
          </cell>
          <cell r="BY14">
            <v>7.3462337760943193E-5</v>
          </cell>
        </row>
        <row r="15">
          <cell r="B15">
            <v>3.2858797527318467E-3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1.1485858983156661E-8</v>
          </cell>
          <cell r="J15">
            <v>0</v>
          </cell>
          <cell r="K15">
            <v>0</v>
          </cell>
          <cell r="L15">
            <v>0</v>
          </cell>
          <cell r="M15">
            <v>6.3931165411315756E-7</v>
          </cell>
          <cell r="N15">
            <v>7.1265599420457752E-7</v>
          </cell>
          <cell r="O15">
            <v>3.4313858393403944E-6</v>
          </cell>
          <cell r="P15">
            <v>1.1551982892545611E-6</v>
          </cell>
          <cell r="Q15">
            <v>1.2823771503947895E-6</v>
          </cell>
          <cell r="R15">
            <v>1.046047196816192E-6</v>
          </cell>
          <cell r="S15">
            <v>4.3733860435378149E-6</v>
          </cell>
          <cell r="T15">
            <v>7.7315229451669308E-6</v>
          </cell>
          <cell r="U15">
            <v>9.8607728297747075E-6</v>
          </cell>
          <cell r="V15">
            <v>1.3051560343054337E-5</v>
          </cell>
          <cell r="W15">
            <v>1.7710665150553571E-5</v>
          </cell>
          <cell r="X15">
            <v>2.4410411879078141E-5</v>
          </cell>
          <cell r="Y15">
            <v>3.5270706111599454E-5</v>
          </cell>
          <cell r="Z15">
            <v>5.0594283342679543E-5</v>
          </cell>
          <cell r="AA15">
            <v>6.9745864775484095E-5</v>
          </cell>
          <cell r="AB15">
            <v>9.2803160905018068E-5</v>
          </cell>
          <cell r="AC15">
            <v>1.202829008359578E-4</v>
          </cell>
          <cell r="AD15">
            <v>1.569265978656262E-4</v>
          </cell>
          <cell r="AE15">
            <v>2.1927526080667983E-4</v>
          </cell>
          <cell r="AF15">
            <v>2.8737333253045863E-4</v>
          </cell>
          <cell r="AG15">
            <v>3.7274581371998208E-4</v>
          </cell>
          <cell r="AH15">
            <v>5.2822177961686331E-4</v>
          </cell>
          <cell r="AI15">
            <v>7.9763024871450875E-4</v>
          </cell>
          <cell r="AJ15">
            <v>1.3124520469288393E-3</v>
          </cell>
          <cell r="AK15">
            <v>2.3503037477039745E-3</v>
          </cell>
          <cell r="AL15">
            <v>4.5679573737797564E-3</v>
          </cell>
          <cell r="AM15">
            <v>9.1950829467094611E-3</v>
          </cell>
          <cell r="AN15">
            <v>1.8576189830089178E-2</v>
          </cell>
          <cell r="AO15">
            <v>3.6311038091245591E-2</v>
          </cell>
          <cell r="AP15">
            <v>6.4587291565124272E-2</v>
          </cell>
          <cell r="AQ15">
            <v>9.5239855631561343E-2</v>
          </cell>
          <cell r="AR15">
            <v>0.11399209218145713</v>
          </cell>
          <cell r="AS15">
            <v>0.11316941848374121</v>
          </cell>
          <cell r="AT15">
            <v>9.9918247406387925E-2</v>
          </cell>
          <cell r="AU15">
            <v>8.1903268959035089E-2</v>
          </cell>
          <cell r="AV15">
            <v>6.3132862998465572E-2</v>
          </cell>
          <cell r="AW15">
            <v>4.7359171277970659E-2</v>
          </cell>
          <cell r="AX15">
            <v>3.4484094376252362E-2</v>
          </cell>
          <cell r="AY15">
            <v>2.5549600266253719E-2</v>
          </cell>
          <cell r="AZ15">
            <v>2.0151313541905677E-2</v>
          </cell>
          <cell r="BA15">
            <v>1.6786908206930077E-2</v>
          </cell>
          <cell r="BB15">
            <v>1.4202606704896908E-2</v>
          </cell>
          <cell r="BC15">
            <v>1.232878985479105E-2</v>
          </cell>
          <cell r="BD15">
            <v>1.082911855082833E-2</v>
          </cell>
          <cell r="BE15">
            <v>9.6888460068642324E-3</v>
          </cell>
          <cell r="BF15">
            <v>8.7965946514188004E-3</v>
          </cell>
          <cell r="BG15">
            <v>8.0783301593017869E-3</v>
          </cell>
          <cell r="BH15">
            <v>1.0710709776000932E-2</v>
          </cell>
          <cell r="BI15">
            <v>1.2295009056808987E-2</v>
          </cell>
          <cell r="BJ15">
            <v>1.0416453327491536E-2</v>
          </cell>
          <cell r="BK15">
            <v>8.6531763608845569E-3</v>
          </cell>
          <cell r="BL15">
            <v>6.8355683874239794E-3</v>
          </cell>
          <cell r="BM15">
            <v>5.8495299624203839E-3</v>
          </cell>
          <cell r="BN15">
            <v>4.8093768385191272E-3</v>
          </cell>
          <cell r="BO15">
            <v>2.5242080165005128E-3</v>
          </cell>
          <cell r="BP15">
            <v>2.1841499576306629E-3</v>
          </cell>
          <cell r="BQ15">
            <v>2.0143367425509086E-3</v>
          </cell>
          <cell r="BR15">
            <v>1.8455720626014858E-3</v>
          </cell>
          <cell r="BS15">
            <v>1.6773553982777796E-3</v>
          </cell>
          <cell r="BT15">
            <v>1.5094144438432618E-3</v>
          </cell>
          <cell r="BU15">
            <v>1.4254587608684714E-3</v>
          </cell>
          <cell r="BV15">
            <v>1.3415612643091935E-3</v>
          </cell>
          <cell r="BW15">
            <v>2.0961388407776645E-3</v>
          </cell>
          <cell r="BX15">
            <v>2.6830366446051E-3</v>
          </cell>
          <cell r="BY15">
            <v>2.5153428157114123E-3</v>
          </cell>
        </row>
        <row r="16">
          <cell r="B16">
            <v>4.1954629353409354E-3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2.6612323032121545E-10</v>
          </cell>
          <cell r="J16">
            <v>0</v>
          </cell>
          <cell r="K16">
            <v>0</v>
          </cell>
          <cell r="L16">
            <v>0</v>
          </cell>
          <cell r="M16">
            <v>2.0133486085973128E-8</v>
          </cell>
          <cell r="N16">
            <v>2.8184403552476438E-8</v>
          </cell>
          <cell r="O16">
            <v>1.4661102043888584E-7</v>
          </cell>
          <cell r="P16">
            <v>6.3118181330147256E-8</v>
          </cell>
          <cell r="Q16">
            <v>7.2159798335312379E-8</v>
          </cell>
          <cell r="R16">
            <v>6.3917449269085192E-8</v>
          </cell>
          <cell r="S16">
            <v>2.8259905883266735E-7</v>
          </cell>
          <cell r="T16">
            <v>5.421555319585367E-7</v>
          </cell>
          <cell r="U16">
            <v>7.5196412595555084E-7</v>
          </cell>
          <cell r="V16">
            <v>1.0874171465717992E-6</v>
          </cell>
          <cell r="W16">
            <v>1.6149454288277293E-6</v>
          </cell>
          <cell r="X16">
            <v>2.4387494477636124E-6</v>
          </cell>
          <cell r="Y16">
            <v>3.8642124739573997E-6</v>
          </cell>
          <cell r="Z16">
            <v>6.0791886044355129E-6</v>
          </cell>
          <cell r="AA16">
            <v>9.1934539976847406E-6</v>
          </cell>
          <cell r="AB16">
            <v>1.3415970189883795E-5</v>
          </cell>
          <cell r="AC16">
            <v>1.909094151987241E-5</v>
          </cell>
          <cell r="AD16">
            <v>2.7394031257814736E-5</v>
          </cell>
          <cell r="AE16">
            <v>4.2247040925171859E-5</v>
          </cell>
          <cell r="AF16">
            <v>6.1396760359982218E-5</v>
          </cell>
          <cell r="AG16">
            <v>8.8599241310306328E-5</v>
          </cell>
          <cell r="AH16">
            <v>1.3984011432091468E-4</v>
          </cell>
          <cell r="AI16">
            <v>2.3515795442719098E-4</v>
          </cell>
          <cell r="AJ16">
            <v>4.310731885289408E-4</v>
          </cell>
          <cell r="AK16">
            <v>8.6072876152693282E-4</v>
          </cell>
          <cell r="AL16">
            <v>1.8659376411444427E-3</v>
          </cell>
          <cell r="AM16">
            <v>4.1919943745993221E-3</v>
          </cell>
          <cell r="AN16">
            <v>9.4475647366112098E-3</v>
          </cell>
          <cell r="AO16">
            <v>2.0592439590181751E-2</v>
          </cell>
          <cell r="AP16">
            <v>4.0800828165945026E-2</v>
          </cell>
          <cell r="AQ16">
            <v>6.6885412275851153E-2</v>
          </cell>
          <cell r="AR16">
            <v>8.8749868950885519E-2</v>
          </cell>
          <cell r="AS16">
            <v>9.7258288439330501E-2</v>
          </cell>
          <cell r="AT16">
            <v>9.4294067368348999E-2</v>
          </cell>
          <cell r="AU16">
            <v>8.4344638068706401E-2</v>
          </cell>
          <cell r="AV16">
            <v>7.0422073501658869E-2</v>
          </cell>
          <cell r="AW16">
            <v>5.6731605627197118E-2</v>
          </cell>
          <cell r="AX16">
            <v>4.3970417172215323E-2</v>
          </cell>
          <cell r="AY16">
            <v>3.4362014535477117E-2</v>
          </cell>
          <cell r="AZ16">
            <v>2.8328171598416184E-2</v>
          </cell>
          <cell r="BA16">
            <v>2.4451795965120277E-2</v>
          </cell>
          <cell r="BB16">
            <v>2.1270620696191712E-2</v>
          </cell>
          <cell r="BC16">
            <v>1.8853800292999542E-2</v>
          </cell>
          <cell r="BD16">
            <v>1.6810795667242424E-2</v>
          </cell>
          <cell r="BE16">
            <v>1.5196045821602604E-2</v>
          </cell>
          <cell r="BF16">
            <v>1.3887560193847633E-2</v>
          </cell>
          <cell r="BG16">
            <v>1.2801653881493217E-2</v>
          </cell>
          <cell r="BH16">
            <v>1.7008032391108829E-2</v>
          </cell>
          <cell r="BI16">
            <v>1.950423755881741E-2</v>
          </cell>
          <cell r="BJ16">
            <v>1.648061919002124E-2</v>
          </cell>
          <cell r="BK16">
            <v>1.3652841788718444E-2</v>
          </cell>
          <cell r="BL16">
            <v>1.076015520465892E-2</v>
          </cell>
          <cell r="BM16">
            <v>9.1923736801640676E-3</v>
          </cell>
          <cell r="BN16">
            <v>7.5492088487183594E-3</v>
          </cell>
          <cell r="BO16">
            <v>3.959364552810804E-3</v>
          </cell>
          <cell r="BP16">
            <v>3.4244746019276E-3</v>
          </cell>
          <cell r="BQ16">
            <v>3.1574309891455815E-3</v>
          </cell>
          <cell r="BR16">
            <v>2.8924836112344194E-3</v>
          </cell>
          <cell r="BS16">
            <v>2.62864062566231E-3</v>
          </cell>
          <cell r="BT16">
            <v>2.3653567816930786E-3</v>
          </cell>
          <cell r="BU16">
            <v>2.2337443723720253E-3</v>
          </cell>
          <cell r="BV16">
            <v>2.1022510269144072E-3</v>
          </cell>
          <cell r="BW16">
            <v>3.2846628598877403E-3</v>
          </cell>
          <cell r="BX16">
            <v>4.2043249662093987E-3</v>
          </cell>
          <cell r="BY16">
            <v>3.9415463688829613E-3</v>
          </cell>
        </row>
        <row r="17">
          <cell r="B17">
            <v>7.5423097911825254E-3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7.1077503572227518E-12</v>
          </cell>
          <cell r="J17">
            <v>0</v>
          </cell>
          <cell r="K17">
            <v>0</v>
          </cell>
          <cell r="L17">
            <v>0</v>
          </cell>
          <cell r="M17">
            <v>7.2134058270862847E-10</v>
          </cell>
          <cell r="N17">
            <v>1.2541414179591902E-9</v>
          </cell>
          <cell r="O17">
            <v>7.0226702139859708E-9</v>
          </cell>
          <cell r="P17">
            <v>3.8162557748668216E-9</v>
          </cell>
          <cell r="Q17">
            <v>4.4810619284786361E-9</v>
          </cell>
          <cell r="R17">
            <v>4.3038166812505025E-9</v>
          </cell>
          <cell r="S17">
            <v>2.0052196729930274E-8</v>
          </cell>
          <cell r="T17">
            <v>4.1526379697510108E-8</v>
          </cell>
          <cell r="U17">
            <v>6.2285270158674528E-8</v>
          </cell>
          <cell r="V17">
            <v>9.7819105135109849E-8</v>
          </cell>
          <cell r="W17">
            <v>1.5797804996416684E-7</v>
          </cell>
          <cell r="X17">
            <v>2.5960539484964806E-7</v>
          </cell>
          <cell r="Y17">
            <v>4.4781318532016559E-7</v>
          </cell>
          <cell r="Z17">
            <v>7.6667199842845718E-7</v>
          </cell>
          <cell r="AA17">
            <v>1.2613876576165236E-6</v>
          </cell>
          <cell r="AB17">
            <v>2.0010084931900837E-6</v>
          </cell>
          <cell r="AC17">
            <v>3.0967708476900294E-6</v>
          </cell>
          <cell r="AD17">
            <v>4.8383447538879861E-6</v>
          </cell>
          <cell r="AE17">
            <v>8.1470208473102301E-6</v>
          </cell>
          <cell r="AF17">
            <v>1.2978018507919877E-5</v>
          </cell>
          <cell r="AG17">
            <v>2.057924960637507E-5</v>
          </cell>
          <cell r="AH17">
            <v>3.5705073094283736E-5</v>
          </cell>
          <cell r="AI17">
            <v>6.5944994267957236E-5</v>
          </cell>
          <cell r="AJ17">
            <v>1.3270090751151768E-4</v>
          </cell>
          <cell r="AK17">
            <v>2.9094599706644175E-4</v>
          </cell>
          <cell r="AL17">
            <v>6.9245749841857199E-4</v>
          </cell>
          <cell r="AM17">
            <v>1.7081347116587517E-3</v>
          </cell>
          <cell r="AN17">
            <v>4.2245207608175598E-3</v>
          </cell>
          <cell r="AO17">
            <v>1.0101102658266968E-2</v>
          </cell>
          <cell r="AP17">
            <v>2.1942613152840292E-2</v>
          </cell>
          <cell r="AQ17">
            <v>3.9398921658881564E-2</v>
          </cell>
          <cell r="AR17">
            <v>5.7191719960055919E-2</v>
          </cell>
          <cell r="AS17">
            <v>6.8427524884223628E-2</v>
          </cell>
          <cell r="AT17">
            <v>7.2270132121196345E-2</v>
          </cell>
          <cell r="AU17">
            <v>7.0237735582836511E-2</v>
          </cell>
          <cell r="AV17">
            <v>6.3519701663698816E-2</v>
          </cell>
          <cell r="AW17">
            <v>5.5212971990144313E-2</v>
          </cell>
          <cell r="AX17">
            <v>4.5992485007850928E-2</v>
          </cell>
          <cell r="AY17">
            <v>3.8464314559126307E-2</v>
          </cell>
          <cell r="AZ17">
            <v>3.3781171411614255E-2</v>
          </cell>
          <cell r="BA17">
            <v>3.0908595575568514E-2</v>
          </cell>
          <cell r="BB17">
            <v>2.8367762193739775E-2</v>
          </cell>
          <cell r="BC17">
            <v>2.6397322943231355E-2</v>
          </cell>
          <cell r="BD17">
            <v>2.458649525741485E-2</v>
          </cell>
          <cell r="BE17">
            <v>2.3106042995866251E-2</v>
          </cell>
          <cell r="BF17">
            <v>2.1854348236268323E-2</v>
          </cell>
          <cell r="BG17">
            <v>2.0758748396846532E-2</v>
          </cell>
          <cell r="BH17">
            <v>2.8632234417402133E-2</v>
          </cell>
          <cell r="BI17">
            <v>3.4096085498254269E-2</v>
          </cell>
          <cell r="BJ17">
            <v>2.9583676013577878E-2</v>
          </cell>
          <cell r="BK17">
            <v>2.4951508213569052E-2</v>
          </cell>
          <cell r="BL17">
            <v>1.9897579392775446E-2</v>
          </cell>
          <cell r="BM17">
            <v>1.7124933203405673E-2</v>
          </cell>
          <cell r="BN17">
            <v>1.4127122527893011E-2</v>
          </cell>
          <cell r="BO17">
            <v>7.4288191663598267E-3</v>
          </cell>
          <cell r="BP17">
            <v>6.4348326525789038E-3</v>
          </cell>
          <cell r="BQ17">
            <v>5.937922257031083E-3</v>
          </cell>
          <cell r="BR17">
            <v>5.4420674062317367E-3</v>
          </cell>
          <cell r="BS17">
            <v>4.9468040844409551E-3</v>
          </cell>
          <cell r="BT17">
            <v>4.4518600877979124E-3</v>
          </cell>
          <cell r="BU17">
            <v>4.204400116753596E-3</v>
          </cell>
          <cell r="BV17">
            <v>3.9570156117236018E-3</v>
          </cell>
          <cell r="BW17">
            <v>6.1827604511626765E-3</v>
          </cell>
          <cell r="BX17">
            <v>7.9138989049922556E-3</v>
          </cell>
          <cell r="BY17">
            <v>7.419272851672363E-3</v>
          </cell>
        </row>
        <row r="19">
          <cell r="B19">
            <v>4.7187892546676795E-6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2.6291858466231401E-3</v>
          </cell>
          <cell r="J19">
            <v>0</v>
          </cell>
          <cell r="K19">
            <v>0</v>
          </cell>
          <cell r="L19">
            <v>0</v>
          </cell>
          <cell r="M19">
            <v>5.6329706646216927E-2</v>
          </cell>
          <cell r="N19">
            <v>3.0943838706535512E-2</v>
          </cell>
          <cell r="O19">
            <v>0.11584386444276983</v>
          </cell>
          <cell r="P19">
            <v>1.7998207912489534E-2</v>
          </cell>
          <cell r="Q19">
            <v>1.7898805563702127E-2</v>
          </cell>
          <cell r="R19">
            <v>1.1294773351312327E-2</v>
          </cell>
          <cell r="S19">
            <v>3.9335705372734307E-2</v>
          </cell>
          <cell r="T19">
            <v>5.3124345643548669E-2</v>
          </cell>
          <cell r="U19">
            <v>5.1248372724224785E-2</v>
          </cell>
          <cell r="V19">
            <v>5.0360901399055677E-2</v>
          </cell>
          <cell r="W19">
            <v>5.021676469447249E-2</v>
          </cell>
          <cell r="X19">
            <v>5.0386219876886067E-2</v>
          </cell>
          <cell r="Y19">
            <v>5.2481228958226399E-2</v>
          </cell>
          <cell r="Z19">
            <v>5.3804552102572893E-2</v>
          </cell>
          <cell r="AA19">
            <v>5.2442645914539343E-2</v>
          </cell>
          <cell r="AB19">
            <v>4.8801080646532866E-2</v>
          </cell>
          <cell r="AC19">
            <v>4.3448517447655377E-2</v>
          </cell>
          <cell r="AD19">
            <v>3.8033968969485847E-2</v>
          </cell>
          <cell r="AE19">
            <v>3.4475529982011199E-2</v>
          </cell>
          <cell r="AF19">
            <v>2.8047943756733404E-2</v>
          </cell>
          <cell r="AG19">
            <v>2.1559801166218185E-2</v>
          </cell>
          <cell r="AH19">
            <v>1.7281647374783691E-2</v>
          </cell>
          <cell r="AI19">
            <v>1.4027059757495457E-2</v>
          </cell>
          <cell r="AJ19">
            <v>1.1544906504818717E-2</v>
          </cell>
          <cell r="AK19">
            <v>9.676030043470181E-3</v>
          </cell>
          <cell r="AL19">
            <v>8.1646482710586513E-3</v>
          </cell>
          <cell r="AM19">
            <v>6.6033248795515764E-3</v>
          </cell>
          <cell r="AN19">
            <v>5.0087251935351275E-3</v>
          </cell>
          <cell r="AO19">
            <v>3.4513817471458989E-3</v>
          </cell>
          <cell r="AP19">
            <v>2.0513544960242764E-3</v>
          </cell>
          <cell r="AQ19">
            <v>9.6964311544936812E-4</v>
          </cell>
          <cell r="AR19">
            <v>3.6059924600328753E-4</v>
          </cell>
          <cell r="AS19">
            <v>1.0979775393023451E-4</v>
          </cell>
          <cell r="AT19">
            <v>2.9794494608834321E-5</v>
          </cell>
          <cell r="AU19">
            <v>7.6858045641405154E-6</v>
          </cell>
          <cell r="AV19">
            <v>1.9617191577567521E-6</v>
          </cell>
          <cell r="AW19">
            <v>5.2813173526146096E-7</v>
          </cell>
          <cell r="AX19">
            <v>1.516630480659198E-7</v>
          </cell>
          <cell r="AY19">
            <v>4.8737176826301602E-8</v>
          </cell>
          <cell r="AZ19">
            <v>1.803035023483236E-8</v>
          </cell>
          <cell r="BA19">
            <v>7.4336201886985037E-9</v>
          </cell>
          <cell r="BB19">
            <v>3.1842113062283393E-9</v>
          </cell>
          <cell r="BC19">
            <v>1.4053164255038996E-9</v>
          </cell>
          <cell r="BD19">
            <v>6.2220625129153738E-10</v>
          </cell>
          <cell r="BE19">
            <v>2.7567250010887135E-10</v>
          </cell>
          <cell r="BF19">
            <v>1.2121782237847142E-10</v>
          </cell>
          <cell r="BG19">
            <v>5.2682160442266007E-11</v>
          </cell>
          <cell r="BH19">
            <v>2.1717316285412769E-11</v>
          </cell>
          <cell r="BI19">
            <v>4.8246929416005518E-12</v>
          </cell>
          <cell r="BJ19">
            <v>7.1591976301184618E-13</v>
          </cell>
          <cell r="BK19">
            <v>9.4410626406932093E-14</v>
          </cell>
          <cell r="BL19">
            <v>1.0742434394789126E-14</v>
          </cell>
          <cell r="BM19">
            <v>1.2147864535501494E-15</v>
          </cell>
          <cell r="BN19">
            <v>1.205473747852933E-16</v>
          </cell>
          <cell r="BO19">
            <v>7.0275355967007663E-18</v>
          </cell>
          <cell r="BP19">
            <v>6.2411207449666182E-19</v>
          </cell>
          <cell r="BQ19">
            <v>5.5272430145664274E-20</v>
          </cell>
          <cell r="BR19">
            <v>4.5377241348031436E-21</v>
          </cell>
          <cell r="BS19">
            <v>3.5050674641063792E-22</v>
          </cell>
          <cell r="BT19">
            <v>2.5587003413194918E-23</v>
          </cell>
          <cell r="BU19">
            <v>1.8781807468194461E-24</v>
          </cell>
          <cell r="BV19">
            <v>1.3324807707822456E-25</v>
          </cell>
          <cell r="BW19">
            <v>2.2259545790060069E-27</v>
          </cell>
          <cell r="BX19">
            <v>6.0269558849262213E-30</v>
          </cell>
          <cell r="BY19">
            <v>1.7610347472208731E-44</v>
          </cell>
        </row>
        <row r="20">
          <cell r="B20">
            <v>1.6508315596150985E-2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1.1326129000820834E-3</v>
          </cell>
          <cell r="J20">
            <v>0</v>
          </cell>
          <cell r="K20">
            <v>0</v>
          </cell>
          <cell r="L20">
            <v>0</v>
          </cell>
          <cell r="M20">
            <v>2.4899571113977507E-2</v>
          </cell>
          <cell r="N20">
            <v>1.4096772956748256E-2</v>
          </cell>
          <cell r="O20">
            <v>5.3537251883279895E-2</v>
          </cell>
          <cell r="P20">
            <v>8.7781416487842968E-3</v>
          </cell>
          <cell r="Q20">
            <v>8.8609906611930769E-3</v>
          </cell>
          <cell r="R20">
            <v>5.6718138818531039E-3</v>
          </cell>
          <cell r="S20">
            <v>2.014254843399646E-2</v>
          </cell>
          <cell r="T20">
            <v>2.8082494739181649E-2</v>
          </cell>
          <cell r="U20">
            <v>2.8111891887949617E-2</v>
          </cell>
          <cell r="V20">
            <v>2.8851510916486942E-2</v>
          </cell>
          <cell r="W20">
            <v>3.0249982773661453E-2</v>
          </cell>
          <cell r="X20">
            <v>3.2154073894737692E-2</v>
          </cell>
          <cell r="Y20">
            <v>3.5777072127759817E-2</v>
          </cell>
          <cell r="Z20">
            <v>3.9531619189388398E-2</v>
          </cell>
          <cell r="AA20">
            <v>4.1944236022278182E-2</v>
          </cell>
          <cell r="AB20">
            <v>4.2932450936969839E-2</v>
          </cell>
          <cell r="AC20">
            <v>4.2533473487931774E-2</v>
          </cell>
          <cell r="AD20">
            <v>4.1929258900400751E-2</v>
          </cell>
          <cell r="AE20">
            <v>4.3354777701695976E-2</v>
          </cell>
          <cell r="AF20">
            <v>4.0776717551602643E-2</v>
          </cell>
          <cell r="AG20">
            <v>3.6710223327853279E-2</v>
          </cell>
          <cell r="AH20">
            <v>3.4879948636144555E-2</v>
          </cell>
          <cell r="AI20">
            <v>3.3961872986351546E-2</v>
          </cell>
          <cell r="AJ20">
            <v>3.4133891746886628E-2</v>
          </cell>
          <cell r="AK20">
            <v>3.520314357304944E-2</v>
          </cell>
          <cell r="AL20">
            <v>3.6956890416894261E-2</v>
          </cell>
          <cell r="AM20">
            <v>3.7610369849594205E-2</v>
          </cell>
          <cell r="AN20">
            <v>3.6254971360965581E-2</v>
          </cell>
          <cell r="AO20">
            <v>3.2078605205194927E-2</v>
          </cell>
          <cell r="AP20">
            <v>2.4729081079840769E-2</v>
          </cell>
          <cell r="AQ20">
            <v>1.5305241631939389E-2</v>
          </cell>
          <cell r="AR20">
            <v>7.5246158185479171E-3</v>
          </cell>
          <cell r="AS20">
            <v>3.0554275095631611E-3</v>
          </cell>
          <cell r="AT20">
            <v>1.1159902036795199E-3</v>
          </cell>
          <cell r="AU20">
            <v>3.9120873414037245E-4</v>
          </cell>
          <cell r="AV20">
            <v>1.3699896119213564E-4</v>
          </cell>
          <cell r="AW20">
            <v>5.1054501452220611E-5</v>
          </cell>
          <cell r="AX20">
            <v>2.0498487493744553E-5</v>
          </cell>
          <cell r="AY20">
            <v>9.3039087742573903E-6</v>
          </cell>
          <cell r="AZ20">
            <v>4.9118817683534392E-6</v>
          </cell>
          <cell r="BA20">
            <v>2.9172870324709469E-6</v>
          </cell>
          <cell r="BB20">
            <v>1.8211363133898665E-6</v>
          </cell>
          <cell r="BC20">
            <v>1.1839281477934445E-6</v>
          </cell>
          <cell r="BD20">
            <v>7.8031891469820097E-7</v>
          </cell>
          <cell r="BE20">
            <v>5.2062256784428703E-7</v>
          </cell>
          <cell r="BF20">
            <v>3.4893124477104801E-7</v>
          </cell>
          <cell r="BG20">
            <v>2.3390012435224574E-7</v>
          </cell>
          <cell r="BH20">
            <v>1.8910484209988211E-7</v>
          </cell>
          <cell r="BI20">
            <v>1.0778464890814051E-7</v>
          </cell>
          <cell r="BJ20">
            <v>4.3270781326916552E-8</v>
          </cell>
          <cell r="BK20">
            <v>1.6281919765232094E-8</v>
          </cell>
          <cell r="BL20">
            <v>5.5722165884403153E-9</v>
          </cell>
          <cell r="BM20">
            <v>1.9860176312627286E-9</v>
          </cell>
          <cell r="BN20">
            <v>6.5278562848939486E-10</v>
          </cell>
          <cell r="BO20">
            <v>1.3195364230054542E-10</v>
          </cell>
          <cell r="BP20">
            <v>4.2430212076464882E-11</v>
          </cell>
          <cell r="BQ20">
            <v>1.4110837849110034E-11</v>
          </cell>
          <cell r="BR20">
            <v>4.515565072246524E-12</v>
          </cell>
          <cell r="BS20">
            <v>1.3987839640425837E-12</v>
          </cell>
          <cell r="BT20">
            <v>4.1968999756350361E-13</v>
          </cell>
          <cell r="BU20">
            <v>1.29472035155315E-13</v>
          </cell>
          <cell r="BV20">
            <v>3.9193007343739251E-14</v>
          </cell>
          <cell r="BW20">
            <v>8.310754291195998E-15</v>
          </cell>
          <cell r="BX20">
            <v>6.9037194489215035E-16</v>
          </cell>
          <cell r="BY20">
            <v>5.7423603762048814E-22</v>
          </cell>
        </row>
        <row r="21">
          <cell r="B21">
            <v>1.1936520459648364E-2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7.7607708506636066E-4</v>
          </cell>
          <cell r="J21">
            <v>0</v>
          </cell>
          <cell r="K21">
            <v>0</v>
          </cell>
          <cell r="L21">
            <v>0</v>
          </cell>
          <cell r="M21">
            <v>1.6970869285239078E-2</v>
          </cell>
          <cell r="N21">
            <v>9.5447380490582059E-3</v>
          </cell>
          <cell r="O21">
            <v>3.6127230612587019E-2</v>
          </cell>
          <cell r="P21">
            <v>5.8567242168612189E-3</v>
          </cell>
          <cell r="Q21">
            <v>5.8888857903465954E-3</v>
          </cell>
          <cell r="R21">
            <v>3.7633535934482871E-3</v>
          </cell>
          <cell r="S21">
            <v>1.3314483862133278E-2</v>
          </cell>
          <cell r="T21">
            <v>1.8455998499685582E-2</v>
          </cell>
          <cell r="U21">
            <v>1.836360499589975E-2</v>
          </cell>
          <cell r="V21">
            <v>1.8732677118616189E-2</v>
          </cell>
          <cell r="W21">
            <v>1.9529781633922817E-2</v>
          </cell>
          <cell r="X21">
            <v>2.0662179209612216E-2</v>
          </cell>
          <cell r="Y21">
            <v>2.2923071467744249E-2</v>
          </cell>
          <cell r="Z21">
            <v>2.5323709603807736E-2</v>
          </cell>
          <cell r="AA21">
            <v>2.697026281988861E-2</v>
          </cell>
          <cell r="AB21">
            <v>2.7858431676272468E-2</v>
          </cell>
          <cell r="AC21">
            <v>2.805293432522887E-2</v>
          </cell>
          <cell r="AD21">
            <v>2.8365991112608943E-2</v>
          </cell>
          <cell r="AE21">
            <v>3.042858373474314E-2</v>
          </cell>
          <cell r="AF21">
            <v>3.0094908877803903E-2</v>
          </cell>
          <cell r="AG21">
            <v>2.891189796226078E-2</v>
          </cell>
          <cell r="AH21">
            <v>2.9749712202400629E-2</v>
          </cell>
          <cell r="AI21">
            <v>3.1833026518888606E-2</v>
          </cell>
          <cell r="AJ21">
            <v>3.5755660804160115E-2</v>
          </cell>
          <cell r="AK21">
            <v>4.1744419176426018E-2</v>
          </cell>
          <cell r="AL21">
            <v>5.026069492407749E-2</v>
          </cell>
          <cell r="AM21">
            <v>5.9395319049938021E-2</v>
          </cell>
          <cell r="AN21">
            <v>6.7176344854281589E-2</v>
          </cell>
          <cell r="AO21">
            <v>7.0397570339889526E-2</v>
          </cell>
          <cell r="AP21">
            <v>6.4765480131131675E-2</v>
          </cell>
          <cell r="AQ21">
            <v>4.8068976942615978E-2</v>
          </cell>
          <cell r="AR21">
            <v>2.8376923423781231E-2</v>
          </cell>
          <cell r="AS21">
            <v>1.3767013680032086E-2</v>
          </cell>
          <cell r="AT21">
            <v>5.9287839664188685E-3</v>
          </cell>
          <cell r="AU21">
            <v>2.3886630919036267E-3</v>
          </cell>
          <cell r="AV21">
            <v>9.2240409200258289E-4</v>
          </cell>
          <cell r="AW21">
            <v>3.5801732998714522E-4</v>
          </cell>
          <cell r="AX21">
            <v>1.4023318185362176E-4</v>
          </cell>
          <cell r="AY21">
            <v>5.8394134380871546E-5</v>
          </cell>
          <cell r="AZ21">
            <v>2.7048018781405995E-5</v>
          </cell>
          <cell r="BA21">
            <v>1.3809652901643587E-5</v>
          </cell>
          <cell r="BB21">
            <v>7.4226644349044114E-6</v>
          </cell>
          <cell r="BC21">
            <v>4.2369334121341553E-6</v>
          </cell>
          <cell r="BD21">
            <v>2.5257357215085223E-6</v>
          </cell>
          <cell r="BE21">
            <v>1.5743869099780395E-6</v>
          </cell>
          <cell r="BF21">
            <v>1.0162154563445737E-6</v>
          </cell>
          <cell r="BG21">
            <v>6.7306203775540028E-7</v>
          </cell>
          <cell r="BH21">
            <v>5.5391257717791291E-7</v>
          </cell>
          <cell r="BI21">
            <v>3.3715081506676617E-7</v>
          </cell>
          <cell r="BJ21">
            <v>1.4832198583325555E-7</v>
          </cell>
          <cell r="BK21">
            <v>6.1994004830981892E-8</v>
          </cell>
          <cell r="BL21">
            <v>2.3755304712009931E-8</v>
          </cell>
          <cell r="BM21">
            <v>9.5281416677608191E-9</v>
          </cell>
          <cell r="BN21">
            <v>3.5419412695452942E-9</v>
          </cell>
          <cell r="BO21">
            <v>8.1322282413934016E-10</v>
          </cell>
          <cell r="BP21">
            <v>2.9813479759401564E-10</v>
          </cell>
          <cell r="BQ21">
            <v>1.133865000292451E-10</v>
          </cell>
          <cell r="BR21">
            <v>4.1610199661251507E-11</v>
          </cell>
          <cell r="BS21">
            <v>1.481074684629778E-11</v>
          </cell>
          <cell r="BT21">
            <v>5.1134748178965962E-12</v>
          </cell>
          <cell r="BU21">
            <v>1.817295660586493E-12</v>
          </cell>
          <cell r="BV21">
            <v>6.3391920938397947E-13</v>
          </cell>
          <cell r="BW21">
            <v>1.7168794404435934E-13</v>
          </cell>
          <cell r="BX21">
            <v>1.9548352773373104E-14</v>
          </cell>
          <cell r="BY21">
            <v>1.6605445777605277E-19</v>
          </cell>
        </row>
        <row r="22">
          <cell r="B22">
            <v>5.3037177822886005E-3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6.6221932410529872E-4</v>
          </cell>
          <cell r="J22">
            <v>0</v>
          </cell>
          <cell r="K22">
            <v>0</v>
          </cell>
          <cell r="L22">
            <v>0</v>
          </cell>
          <cell r="M22">
            <v>1.443847013102142E-2</v>
          </cell>
          <cell r="N22">
            <v>8.0899071113082772E-3</v>
          </cell>
          <cell r="O22">
            <v>3.0561963906041652E-2</v>
          </cell>
          <cell r="P22">
            <v>4.9168563042296994E-3</v>
          </cell>
          <cell r="Q22">
            <v>4.9325176811982454E-3</v>
          </cell>
          <cell r="R22">
            <v>3.1454424404514102E-3</v>
          </cell>
          <cell r="S22">
            <v>1.1093933246991322E-2</v>
          </cell>
          <cell r="T22">
            <v>1.5297840425692391E-2</v>
          </cell>
          <cell r="U22">
            <v>1.5125126534543037E-2</v>
          </cell>
          <cell r="V22">
            <v>1.5309843742429973E-2</v>
          </cell>
          <cell r="W22">
            <v>1.5812723058731899E-2</v>
          </cell>
          <cell r="X22">
            <v>1.6543776120510757E-2</v>
          </cell>
          <cell r="Y22">
            <v>1.8113176373512639E-2</v>
          </cell>
          <cell r="Z22">
            <v>1.9705941970520446E-2</v>
          </cell>
          <cell r="AA22">
            <v>2.0623851572639358E-2</v>
          </cell>
          <cell r="AB22">
            <v>2.0896723410021023E-2</v>
          </cell>
          <cell r="AC22">
            <v>2.0616721751918827E-2</v>
          </cell>
          <cell r="AD22">
            <v>2.042808651185922E-2</v>
          </cell>
          <cell r="AE22">
            <v>2.152082597173512E-2</v>
          </cell>
          <cell r="AF22">
            <v>2.1014264512131269E-2</v>
          </cell>
          <cell r="AG22">
            <v>2.0112583666554225E-2</v>
          </cell>
          <cell r="AH22">
            <v>2.0882333837389532E-2</v>
          </cell>
          <cell r="AI22">
            <v>2.2906371170511496E-2</v>
          </cell>
          <cell r="AJ22">
            <v>2.6875220293190231E-2</v>
          </cell>
          <cell r="AK22">
            <v>3.3428589132735824E-2</v>
          </cell>
          <cell r="AL22">
            <v>4.3723624415358445E-2</v>
          </cell>
          <cell r="AM22">
            <v>5.7183379659139603E-2</v>
          </cell>
          <cell r="AN22">
            <v>7.2731338971390683E-2</v>
          </cell>
          <cell r="AO22">
            <v>8.6945495404321282E-2</v>
          </cell>
          <cell r="AP22">
            <v>9.2370526782890344E-2</v>
          </cell>
          <cell r="AQ22">
            <v>7.9979253044361071E-2</v>
          </cell>
          <cell r="AR22">
            <v>5.5563948821877832E-2</v>
          </cell>
          <cell r="AS22">
            <v>3.1932180275378461E-2</v>
          </cell>
          <cell r="AT22">
            <v>1.6375174358338629E-2</v>
          </cell>
          <cell r="AU22">
            <v>7.8824451820443502E-3</v>
          </cell>
          <cell r="AV22">
            <v>3.6389284768391615E-3</v>
          </cell>
          <cell r="AW22">
            <v>1.6825182350020586E-3</v>
          </cell>
          <cell r="AX22">
            <v>7.7929694358284582E-4</v>
          </cell>
          <cell r="AY22">
            <v>3.78705053792441E-4</v>
          </cell>
          <cell r="AZ22">
            <v>2.0062099764337201E-4</v>
          </cell>
          <cell r="BA22">
            <v>1.1389162997939344E-4</v>
          </cell>
          <cell r="BB22">
            <v>6.5767067780344158E-5</v>
          </cell>
          <cell r="BC22">
            <v>3.8759234484029672E-5</v>
          </cell>
          <cell r="BD22">
            <v>2.2892608983050166E-5</v>
          </cell>
          <cell r="BE22">
            <v>1.3606520201931366E-5</v>
          </cell>
          <cell r="BF22">
            <v>8.1064223063989841E-6</v>
          </cell>
          <cell r="BG22">
            <v>4.8355079666719089E-6</v>
          </cell>
          <cell r="BH22">
            <v>3.3078299011631621E-6</v>
          </cell>
          <cell r="BI22">
            <v>1.5500492102006648E-6</v>
          </cell>
          <cell r="BJ22">
            <v>5.363364285798442E-7</v>
          </cell>
          <cell r="BK22">
            <v>1.8510078585520435E-7</v>
          </cell>
          <cell r="BL22">
            <v>6.224288654008084E-8</v>
          </cell>
          <cell r="BM22">
            <v>2.3218209652858082E-8</v>
          </cell>
          <cell r="BN22">
            <v>8.4403090600490648E-9</v>
          </cell>
          <cell r="BO22">
            <v>1.9616502216229618E-9</v>
          </cell>
          <cell r="BP22">
            <v>7.4391914911743281E-10</v>
          </cell>
          <cell r="BQ22">
            <v>2.9618932494610694E-10</v>
          </cell>
          <cell r="BR22">
            <v>1.1465302999518059E-10</v>
          </cell>
          <cell r="BS22">
            <v>4.3189406576359399E-11</v>
          </cell>
          <cell r="BT22">
            <v>1.5810587874423535E-11</v>
          </cell>
          <cell r="BU22">
            <v>5.9665493296394338E-12</v>
          </cell>
          <cell r="BV22">
            <v>2.2117536317154208E-12</v>
          </cell>
          <cell r="BW22">
            <v>6.6578739049960372E-13</v>
          </cell>
          <cell r="BX22">
            <v>8.7569869431453416E-14</v>
          </cell>
          <cell r="BY22">
            <v>1.6245461300549711E-18</v>
          </cell>
        </row>
        <row r="23">
          <cell r="B23">
            <v>4.2943028975880679E-3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5.5956669406156945E-4</v>
          </cell>
          <cell r="J23">
            <v>0</v>
          </cell>
          <cell r="K23">
            <v>0</v>
          </cell>
          <cell r="L23">
            <v>0</v>
          </cell>
          <cell r="M23">
            <v>1.2195569617990705E-2</v>
          </cell>
          <cell r="N23">
            <v>6.8281502866817667E-3</v>
          </cell>
          <cell r="O23">
            <v>2.578664942481728E-2</v>
          </cell>
          <cell r="P23">
            <v>4.1411618457301838E-3</v>
          </cell>
          <cell r="Q23">
            <v>4.1518717218814024E-3</v>
          </cell>
          <cell r="R23">
            <v>2.6472410681338647E-3</v>
          </cell>
          <cell r="S23">
            <v>9.3291753239709823E-3</v>
          </cell>
          <cell r="T23">
            <v>1.2845854601988537E-2</v>
          </cell>
          <cell r="U23">
            <v>1.267736977666992E-2</v>
          </cell>
          <cell r="V23">
            <v>1.2801515800775459E-2</v>
          </cell>
          <cell r="W23">
            <v>1.3180903411130922E-2</v>
          </cell>
          <cell r="X23">
            <v>1.3734321124021662E-2</v>
          </cell>
          <cell r="Y23">
            <v>1.4957217798776495E-2</v>
          </cell>
          <cell r="Z23">
            <v>1.6159486255501711E-2</v>
          </cell>
          <cell r="AA23">
            <v>1.6758472436323228E-2</v>
          </cell>
          <cell r="AB23">
            <v>1.6780595016029857E-2</v>
          </cell>
          <cell r="AC23">
            <v>1.630598449016377E-2</v>
          </cell>
          <cell r="AD23">
            <v>1.5851229237607199E-2</v>
          </cell>
          <cell r="AE23">
            <v>1.6314114410841758E-2</v>
          </cell>
          <cell r="AF23">
            <v>1.5503483440617298E-2</v>
          </cell>
          <cell r="AG23">
            <v>1.4411764530137077E-2</v>
          </cell>
          <cell r="AH23">
            <v>1.4557092063413605E-2</v>
          </cell>
          <cell r="AI23">
            <v>1.5641254994901627E-2</v>
          </cell>
          <cell r="AJ23">
            <v>1.8213238079211533E-2</v>
          </cell>
          <cell r="AK23">
            <v>2.2976541407531983E-2</v>
          </cell>
          <cell r="AL23">
            <v>3.129571934153861E-2</v>
          </cell>
          <cell r="AM23">
            <v>4.3865670755590329E-2</v>
          </cell>
          <cell r="AN23">
            <v>6.1442294009145727E-2</v>
          </cell>
          <cell r="AO23">
            <v>8.2849851051776974E-2</v>
          </cell>
          <cell r="AP23">
            <v>0.10125504825587398</v>
          </cell>
          <cell r="AQ23">
            <v>0.10241512573910315</v>
          </cell>
          <cell r="AR23">
            <v>8.4129214291384397E-2</v>
          </cell>
          <cell r="AS23">
            <v>5.7674815921163053E-2</v>
          </cell>
          <cell r="AT23">
            <v>3.5539122365524298E-2</v>
          </cell>
          <cell r="AU23">
            <v>2.068154865250359E-2</v>
          </cell>
          <cell r="AV23">
            <v>1.160126005847895E-2</v>
          </cell>
          <cell r="AW23">
            <v>6.5428126352908376E-3</v>
          </cell>
          <cell r="AX23">
            <v>3.7115799617652E-3</v>
          </cell>
          <cell r="AY23">
            <v>2.2175648368627731E-3</v>
          </cell>
          <cell r="AZ23">
            <v>1.4496601630448647E-3</v>
          </cell>
          <cell r="BA23">
            <v>1.0183254785170357E-3</v>
          </cell>
          <cell r="BB23">
            <v>7.3038438796332774E-4</v>
          </cell>
          <cell r="BC23">
            <v>5.3606667950936628E-4</v>
          </cell>
          <cell r="BD23">
            <v>3.9504028226642707E-4</v>
          </cell>
          <cell r="BE23">
            <v>2.9342568202830291E-4</v>
          </cell>
          <cell r="BF23">
            <v>2.1865142989965704E-4</v>
          </cell>
          <cell r="BG23">
            <v>1.6300999279904166E-4</v>
          </cell>
          <cell r="BH23">
            <v>1.5507285547547306E-4</v>
          </cell>
          <cell r="BI23">
            <v>1.106433598152846E-4</v>
          </cell>
          <cell r="BJ23">
            <v>5.6186206903909296E-5</v>
          </cell>
          <cell r="BK23">
            <v>2.6994566332250792E-5</v>
          </cell>
          <cell r="BL23">
            <v>1.1887734366188284E-5</v>
          </cell>
          <cell r="BM23">
            <v>5.4685838548658808E-6</v>
          </cell>
          <cell r="BN23">
            <v>2.3410261054145822E-6</v>
          </cell>
          <cell r="BO23">
            <v>6.2096640901263093E-7</v>
          </cell>
          <cell r="BP23">
            <v>2.6390799615765975E-7</v>
          </cell>
          <cell r="BQ23">
            <v>1.1657026780566544E-7</v>
          </cell>
          <cell r="BR23">
            <v>4.9878651262248981E-8</v>
          </cell>
          <cell r="BS23">
            <v>2.0730301717138573E-8</v>
          </cell>
          <cell r="BT23">
            <v>8.3712303146368153E-9</v>
          </cell>
          <cell r="BU23">
            <v>3.4877587372548387E-9</v>
          </cell>
          <cell r="BV23">
            <v>1.4285443881185876E-9</v>
          </cell>
          <cell r="BW23">
            <v>5.1192803709199958E-10</v>
          </cell>
          <cell r="BX23">
            <v>8.5524594130414492E-11</v>
          </cell>
          <cell r="BY23">
            <v>5.3435305020858549E-15</v>
          </cell>
        </row>
        <row r="24">
          <cell r="B24">
            <v>2.800578536421612E-4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1.7003140677457984E-5</v>
          </cell>
          <cell r="J24">
            <v>0</v>
          </cell>
          <cell r="K24">
            <v>0</v>
          </cell>
          <cell r="L24">
            <v>0</v>
          </cell>
          <cell r="M24">
            <v>5.1818831660119453E-4</v>
          </cell>
          <cell r="N24">
            <v>3.7064865650829316E-4</v>
          </cell>
          <cell r="O24">
            <v>1.5284340072389698E-3</v>
          </cell>
          <cell r="P24">
            <v>3.1895879968380864E-4</v>
          </cell>
          <cell r="Q24">
            <v>3.3271193500675639E-4</v>
          </cell>
          <cell r="R24">
            <v>2.3072674306822146E-4</v>
          </cell>
          <cell r="S24">
            <v>8.6432545241884272E-4</v>
          </cell>
          <cell r="T24">
            <v>1.3012901521976272E-3</v>
          </cell>
          <cell r="U24">
            <v>1.4073946694721988E-3</v>
          </cell>
          <cell r="V24">
            <v>1.5650249028434946E-3</v>
          </cell>
          <cell r="W24">
            <v>1.7779191372597758E-3</v>
          </cell>
          <cell r="X24">
            <v>2.046691710900988E-3</v>
          </cell>
          <cell r="Y24">
            <v>2.4652413916961117E-3</v>
          </cell>
          <cell r="Z24">
            <v>2.9467701374652506E-3</v>
          </cell>
          <cell r="AA24">
            <v>3.3828220216027311E-3</v>
          </cell>
          <cell r="AB24">
            <v>3.7495706656135966E-3</v>
          </cell>
          <cell r="AC24">
            <v>4.0387558507609085E-3</v>
          </cell>
          <cell r="AD24">
            <v>4.3614189234524947E-3</v>
          </cell>
          <cell r="AE24">
            <v>5.0061751340316155E-3</v>
          </cell>
          <cell r="AF24">
            <v>5.3339379109562249E-3</v>
          </cell>
          <cell r="AG24">
            <v>5.5814501850396476E-3</v>
          </cell>
          <cell r="AH24">
            <v>6.3585238229435254E-3</v>
          </cell>
          <cell r="AI24">
            <v>7.7111000989312046E-3</v>
          </cell>
          <cell r="AJ24">
            <v>1.0160151326628546E-2</v>
          </cell>
          <cell r="AK24">
            <v>1.4522355496312247E-2</v>
          </cell>
          <cell r="AL24">
            <v>2.2456433765350857E-2</v>
          </cell>
          <cell r="AM24">
            <v>3.5821517564343215E-2</v>
          </cell>
          <cell r="AN24">
            <v>5.7204586539512686E-2</v>
          </cell>
          <cell r="AO24">
            <v>8.8128128207898143E-2</v>
          </cell>
          <cell r="AP24">
            <v>0.12326997881475382</v>
          </cell>
          <cell r="AQ24">
            <v>0.14282682650203563</v>
          </cell>
          <cell r="AR24">
            <v>0.13437235873603784</v>
          </cell>
          <cell r="AS24">
            <v>0.10520445587635131</v>
          </cell>
          <cell r="AT24">
            <v>7.3605031247632749E-2</v>
          </cell>
          <cell r="AU24">
            <v>4.8128369203331793E-2</v>
          </cell>
          <cell r="AV24">
            <v>2.984041323038911E-2</v>
          </cell>
          <cell r="AW24">
            <v>1.8182971406383377E-2</v>
          </cell>
          <cell r="AX24">
            <v>1.0851381385356382E-2</v>
          </cell>
          <cell r="AY24">
            <v>6.6414753104721766E-3</v>
          </cell>
          <cell r="AZ24">
            <v>4.3525074401930177E-3</v>
          </cell>
          <cell r="BA24">
            <v>3.025183772598557E-3</v>
          </cell>
          <cell r="BB24">
            <v>2.1369169388957472E-3</v>
          </cell>
          <cell r="BC24">
            <v>1.5474306271989098E-3</v>
          </cell>
          <cell r="BD24">
            <v>1.1310778343789523E-3</v>
          </cell>
          <cell r="BE24">
            <v>8.3863522297204156E-4</v>
          </cell>
          <cell r="BF24">
            <v>6.2764247026856105E-4</v>
          </cell>
          <cell r="BG24">
            <v>4.7247159083494723E-4</v>
          </cell>
          <cell r="BH24">
            <v>4.5971944561448583E-4</v>
          </cell>
          <cell r="BI24">
            <v>3.4176333548230884E-4</v>
          </cell>
          <cell r="BJ24">
            <v>1.8244350924227177E-4</v>
          </cell>
          <cell r="BK24">
            <v>9.2766687138788644E-5</v>
          </cell>
          <cell r="BL24">
            <v>4.3465813541452837E-5</v>
          </cell>
          <cell r="BM24">
            <v>2.1370236741603227E-5</v>
          </cell>
          <cell r="BN24">
            <v>9.8146002649285761E-6</v>
          </cell>
          <cell r="BO24">
            <v>2.8022544421570225E-6</v>
          </cell>
          <cell r="BP24">
            <v>1.2854599820043138E-6</v>
          </cell>
          <cell r="BQ24">
            <v>6.1427042372148716E-7</v>
          </cell>
          <cell r="BR24">
            <v>2.8485227390588162E-7</v>
          </cell>
          <cell r="BS24">
            <v>1.284888738426604E-7</v>
          </cell>
          <cell r="BT24">
            <v>5.6366999743698283E-8</v>
          </cell>
          <cell r="BU24">
            <v>2.5529603490143199E-8</v>
          </cell>
          <cell r="BV24">
            <v>1.13682801978529E-8</v>
          </cell>
          <cell r="BW24">
            <v>4.7057773533928346E-9</v>
          </cell>
          <cell r="BX24">
            <v>9.449292779129481E-10</v>
          </cell>
          <cell r="BY24">
            <v>2.4462915429798705E-13</v>
          </cell>
        </row>
        <row r="25">
          <cell r="B25">
            <v>1.6057773255217461E-5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4.9337275200900921E-7</v>
          </cell>
          <cell r="J25">
            <v>0</v>
          </cell>
          <cell r="K25">
            <v>0</v>
          </cell>
          <cell r="L25">
            <v>0</v>
          </cell>
          <cell r="M25">
            <v>2.0337886787153731E-5</v>
          </cell>
          <cell r="N25">
            <v>1.8160506691667528E-5</v>
          </cell>
          <cell r="O25">
            <v>8.0986190428233715E-5</v>
          </cell>
          <cell r="P25">
            <v>2.1463398247361874E-5</v>
          </cell>
          <cell r="Q25">
            <v>2.3112302389723506E-5</v>
          </cell>
          <cell r="R25">
            <v>1.739621070125205E-5</v>
          </cell>
          <cell r="S25">
            <v>6.8853571486907235E-5</v>
          </cell>
          <cell r="T25">
            <v>1.1234975021761986E-4</v>
          </cell>
          <cell r="U25">
            <v>1.3197601333444502E-4</v>
          </cell>
          <cell r="V25">
            <v>1.6014843153262594E-4</v>
          </cell>
          <cell r="W25">
            <v>1.9888895776651918E-4</v>
          </cell>
          <cell r="X25">
            <v>2.5058733255145217E-4</v>
          </cell>
          <cell r="Y25">
            <v>3.3066462811725048E-4</v>
          </cell>
          <cell r="Z25">
            <v>4.3308684010633368E-4</v>
          </cell>
          <cell r="AA25">
            <v>5.4492136184173753E-4</v>
          </cell>
          <cell r="AB25">
            <v>6.6187879189253675E-4</v>
          </cell>
          <cell r="AC25">
            <v>7.8216378821213109E-4</v>
          </cell>
          <cell r="AD25">
            <v>9.2856969478932207E-4</v>
          </cell>
          <cell r="AE25">
            <v>1.1762977587899718E-3</v>
          </cell>
          <cell r="AF25">
            <v>1.390581484684826E-3</v>
          </cell>
          <cell r="AG25">
            <v>1.6209619807671849E-3</v>
          </cell>
          <cell r="AH25">
            <v>2.0610217877985999E-3</v>
          </cell>
          <cell r="AI25">
            <v>2.7912778628906188E-3</v>
          </cell>
          <cell r="AJ25">
            <v>4.1142657784998893E-3</v>
          </cell>
          <cell r="AK25">
            <v>6.5906627900636878E-3</v>
          </cell>
          <cell r="AL25">
            <v>1.1444435596290539E-2</v>
          </cell>
          <cell r="AM25">
            <v>2.0551310787774633E-2</v>
          </cell>
          <cell r="AN25">
            <v>3.7016618113850604E-2</v>
          </cell>
          <cell r="AO25">
            <v>6.4469392135103221E-2</v>
          </cell>
          <cell r="AP25">
            <v>0.10216244740950353</v>
          </cell>
          <cell r="AQ25">
            <v>0.13431181134666204</v>
          </cell>
          <cell r="AR25">
            <v>0.14351717579374576</v>
          </cell>
          <cell r="AS25">
            <v>0.12751620695871335</v>
          </cell>
          <cell r="AT25">
            <v>0.10100592304466818</v>
          </cell>
          <cell r="AU25">
            <v>7.441272263098081E-2</v>
          </cell>
          <cell r="AV25">
            <v>5.1557904940226142E-2</v>
          </cell>
          <cell r="AW25">
            <v>3.467486026825535E-2</v>
          </cell>
          <cell r="AX25">
            <v>2.24789312102949E-2</v>
          </cell>
          <cell r="AY25">
            <v>1.4663066406475488E-2</v>
          </cell>
          <cell r="AZ25">
            <v>1.0034330960999515E-2</v>
          </cell>
          <cell r="BA25">
            <v>7.1416596945930574E-3</v>
          </cell>
          <cell r="BB25">
            <v>5.0833580176313639E-3</v>
          </cell>
          <cell r="BC25">
            <v>3.6670368741881379E-3</v>
          </cell>
          <cell r="BD25">
            <v>2.6528461062021594E-3</v>
          </cell>
          <cell r="BE25">
            <v>1.9423905378736094E-3</v>
          </cell>
          <cell r="BF25">
            <v>1.4366756998507486E-3</v>
          </cell>
          <cell r="BG25">
            <v>1.071654567705896E-3</v>
          </cell>
          <cell r="BH25">
            <v>1.035479551690522E-3</v>
          </cell>
          <cell r="BI25">
            <v>7.7204540937992954E-4</v>
          </cell>
          <cell r="BJ25">
            <v>4.1802314315756177E-4</v>
          </cell>
          <cell r="BK25">
            <v>2.1729169663157522E-4</v>
          </cell>
          <cell r="BL25">
            <v>1.0463862769302754E-4</v>
          </cell>
          <cell r="BM25">
            <v>5.3040375802673757E-5</v>
          </cell>
          <cell r="BN25">
            <v>2.5195186026805575E-5</v>
          </cell>
          <cell r="BO25">
            <v>7.45766312468876E-6</v>
          </cell>
          <cell r="BP25">
            <v>3.552987420793676E-6</v>
          </cell>
          <cell r="BQ25">
            <v>1.7654141442748054E-6</v>
          </cell>
          <cell r="BR25">
            <v>8.5233511570821471E-7</v>
          </cell>
          <cell r="BS25">
            <v>4.0053473812107762E-7</v>
          </cell>
          <cell r="BT25">
            <v>1.8315317594506256E-7</v>
          </cell>
          <cell r="BU25">
            <v>8.651394046452078E-8</v>
          </cell>
          <cell r="BV25">
            <v>4.0189724328840904E-8</v>
          </cell>
          <cell r="BW25">
            <v>1.790361945023404E-8</v>
          </cell>
          <cell r="BX25">
            <v>3.9645489983615467E-9</v>
          </cell>
          <cell r="BY25">
            <v>1.8798858574096509E-12</v>
          </cell>
        </row>
        <row r="26">
          <cell r="B26">
            <v>9.4688108633525436E-7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1.5217330136193113E-8</v>
          </cell>
          <cell r="J26">
            <v>0</v>
          </cell>
          <cell r="K26">
            <v>0</v>
          </cell>
          <cell r="L26">
            <v>0</v>
          </cell>
          <cell r="M26">
            <v>8.3391332028372746E-7</v>
          </cell>
          <cell r="N26">
            <v>9.176097873007105E-7</v>
          </cell>
          <cell r="O26">
            <v>4.4061269642043281E-6</v>
          </cell>
          <cell r="P26">
            <v>1.4636734240877245E-6</v>
          </cell>
          <cell r="Q26">
            <v>1.621012575928086E-6</v>
          </cell>
          <cell r="R26">
            <v>1.3247528724560211E-6</v>
          </cell>
          <cell r="S26">
            <v>5.5212535575507035E-6</v>
          </cell>
          <cell r="T26">
            <v>9.7163937614771849E-6</v>
          </cell>
          <cell r="U26">
            <v>1.2334980256391723E-5</v>
          </cell>
          <cell r="V26">
            <v>1.6251926645276066E-5</v>
          </cell>
          <cell r="W26">
            <v>2.1951348455191192E-5</v>
          </cell>
          <cell r="X26">
            <v>3.0111260827043473E-5</v>
          </cell>
          <cell r="Y26">
            <v>4.32924658985486E-5</v>
          </cell>
          <cell r="Z26">
            <v>6.1779888665962018E-5</v>
          </cell>
          <cell r="AA26">
            <v>8.4694762741267443E-5</v>
          </cell>
          <cell r="AB26">
            <v>1.120333156378523E-4</v>
          </cell>
          <cell r="AC26">
            <v>1.4431306937208587E-4</v>
          </cell>
          <cell r="AD26">
            <v>1.8709667946853755E-4</v>
          </cell>
          <cell r="AE26">
            <v>2.5980798730063505E-4</v>
          </cell>
          <cell r="AF26">
            <v>3.3846474689187833E-4</v>
          </cell>
          <cell r="AG26">
            <v>4.3647601965856697E-4</v>
          </cell>
          <cell r="AH26">
            <v>6.1498124548586657E-4</v>
          </cell>
          <cell r="AI26">
            <v>9.23109156962117E-4</v>
          </cell>
          <cell r="AJ26">
            <v>1.5094627104091996E-3</v>
          </cell>
          <cell r="AK26">
            <v>2.6869946442362636E-3</v>
          </cell>
          <cell r="AL26">
            <v>5.1930441702467281E-3</v>
          </cell>
          <cell r="AM26">
            <v>1.0399828063807307E-2</v>
          </cell>
          <cell r="AN26">
            <v>2.0920818143514302E-2</v>
          </cell>
          <cell r="AO26">
            <v>4.0768867683952645E-2</v>
          </cell>
          <cell r="AP26">
            <v>7.241018970241439E-2</v>
          </cell>
          <cell r="AQ26">
            <v>0.10683715490553065</v>
          </cell>
          <cell r="AR26">
            <v>0.12824613197575263</v>
          </cell>
          <cell r="AS26">
            <v>0.12797874545982113</v>
          </cell>
          <cell r="AT26">
            <v>0.11374517322134677</v>
          </cell>
          <cell r="AU26">
            <v>9.382318336446957E-2</v>
          </cell>
          <cell r="AV26">
            <v>7.2510815831780998E-2</v>
          </cell>
          <cell r="AW26">
            <v>5.4076524638333366E-2</v>
          </cell>
          <cell r="AX26">
            <v>3.8582923351918555E-2</v>
          </cell>
          <cell r="AY26">
            <v>2.7438838960427248E-2</v>
          </cell>
          <cell r="AZ26">
            <v>2.0244718746371852E-2</v>
          </cell>
          <cell r="BA26">
            <v>1.5340176574575034E-2</v>
          </cell>
          <cell r="BB26">
            <v>1.1477600389077622E-2</v>
          </cell>
          <cell r="BC26">
            <v>8.5939622720503182E-3</v>
          </cell>
          <cell r="BD26">
            <v>6.379299943830693E-3</v>
          </cell>
          <cell r="BE26">
            <v>4.7470203896223945E-3</v>
          </cell>
          <cell r="BF26">
            <v>3.5421259113819449E-3</v>
          </cell>
          <cell r="BG26">
            <v>2.6520115034206525E-3</v>
          </cell>
          <cell r="BH26">
            <v>2.5644025019779561E-3</v>
          </cell>
          <cell r="BI26">
            <v>1.9117249188156532E-3</v>
          </cell>
          <cell r="BJ26">
            <v>1.0401220807970564E-3</v>
          </cell>
          <cell r="BK26">
            <v>5.4718342388872406E-4</v>
          </cell>
          <cell r="BL26">
            <v>2.6848590189233003E-4</v>
          </cell>
          <cell r="BM26">
            <v>1.3936284650526668E-4</v>
          </cell>
          <cell r="BN26">
            <v>6.8127127886065012E-5</v>
          </cell>
          <cell r="BO26">
            <v>2.0826855714655835E-5</v>
          </cell>
          <cell r="BP26">
            <v>1.0275592831930801E-5</v>
          </cell>
          <cell r="BQ26">
            <v>5.296881116334233E-6</v>
          </cell>
          <cell r="BR26">
            <v>2.6574934377687834E-6</v>
          </cell>
          <cell r="BS26">
            <v>1.2989190553118362E-6</v>
          </cell>
          <cell r="BT26">
            <v>6.1821964223062448E-7</v>
          </cell>
          <cell r="BU26">
            <v>3.0415203573403447E-7</v>
          </cell>
          <cell r="BV26">
            <v>1.472180769057728E-7</v>
          </cell>
          <cell r="BW26">
            <v>7.0439649927477742E-8</v>
          </cell>
          <cell r="BX26">
            <v>1.7164963922535899E-8</v>
          </cell>
          <cell r="BY26">
            <v>1.4472676391063053E-11</v>
          </cell>
        </row>
        <row r="27">
          <cell r="B27">
            <v>6.0895950239169277E-8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5.2866342073520903E-10</v>
          </cell>
          <cell r="J27">
            <v>0</v>
          </cell>
          <cell r="K27">
            <v>0</v>
          </cell>
          <cell r="L27">
            <v>0</v>
          </cell>
          <cell r="M27">
            <v>3.7861553591909639E-8</v>
          </cell>
          <cell r="N27">
            <v>5.0680373072990666E-8</v>
          </cell>
          <cell r="O27">
            <v>2.6091589506572581E-7</v>
          </cell>
          <cell r="P27">
            <v>1.0720735282934388E-7</v>
          </cell>
          <cell r="Q27">
            <v>1.216774624821731E-7</v>
          </cell>
          <cell r="R27">
            <v>1.0797928088186505E-7</v>
          </cell>
          <cell r="S27">
            <v>4.722728604457085E-7</v>
          </cell>
          <cell r="T27">
            <v>8.9190288738834108E-7</v>
          </cell>
          <cell r="U27">
            <v>1.217420538417264E-6</v>
          </cell>
          <cell r="V27">
            <v>1.7325709736154162E-6</v>
          </cell>
          <cell r="W27">
            <v>2.5316203071102283E-6</v>
          </cell>
          <cell r="X27">
            <v>3.7600238763463321E-6</v>
          </cell>
          <cell r="Y27">
            <v>5.8564784033371186E-6</v>
          </cell>
          <cell r="Z27">
            <v>9.0515335587468946E-6</v>
          </cell>
          <cell r="AA27">
            <v>1.3435187090074506E-5</v>
          </cell>
          <cell r="AB27">
            <v>1.9226607672170157E-5</v>
          </cell>
          <cell r="AC27">
            <v>2.6808953229828531E-5</v>
          </cell>
          <cell r="AD27">
            <v>3.768352330586137E-5</v>
          </cell>
          <cell r="AE27">
            <v>5.6936867376249416E-5</v>
          </cell>
          <cell r="AF27">
            <v>8.1120195193257454E-5</v>
          </cell>
          <cell r="AG27">
            <v>1.1482173669927327E-4</v>
          </cell>
          <cell r="AH27">
            <v>1.778034237849058E-4</v>
          </cell>
          <cell r="AI27">
            <v>2.932270374602425E-4</v>
          </cell>
          <cell r="AJ27">
            <v>5.2686062235163538E-4</v>
          </cell>
          <cell r="AK27">
            <v>1.031967335846149E-3</v>
          </cell>
          <cell r="AL27">
            <v>2.1969105197162204E-3</v>
          </cell>
          <cell r="AM27">
            <v>4.853256681815965E-3</v>
          </cell>
          <cell r="AN27">
            <v>1.0780286314255195E-2</v>
          </cell>
          <cell r="AO27">
            <v>2.3227925185993547E-2</v>
          </cell>
          <cell r="AP27">
            <v>4.5674377173948226E-2</v>
          </cell>
          <cell r="AQ27">
            <v>7.4687297901791183E-2</v>
          </cell>
          <cell r="AR27">
            <v>9.9458697658815667E-2</v>
          </cell>
          <cell r="AS27">
            <v>0.11012094817547342</v>
          </cell>
          <cell r="AT27">
            <v>0.10857872066845982</v>
          </cell>
          <cell r="AU27">
            <v>9.9293321980683857E-2</v>
          </cell>
          <cell r="AV27">
            <v>8.4961456038587332E-2</v>
          </cell>
          <cell r="AW27">
            <v>6.9983364630218661E-2</v>
          </cell>
          <cell r="AX27">
            <v>5.498899603015097E-2</v>
          </cell>
          <cell r="AY27">
            <v>4.2905305151948507E-2</v>
          </cell>
          <cell r="AZ27">
            <v>3.4575346746730885E-2</v>
          </cell>
          <cell r="BA27">
            <v>2.8456425691460775E-2</v>
          </cell>
          <cell r="BB27">
            <v>2.2991243480332987E-2</v>
          </cell>
          <cell r="BC27">
            <v>1.8465181721861658E-2</v>
          </cell>
          <cell r="BD27">
            <v>1.4597351470195268E-2</v>
          </cell>
          <cell r="BE27">
            <v>1.1484701766953509E-2</v>
          </cell>
          <cell r="BF27">
            <v>8.9959441999261924E-3</v>
          </cell>
          <cell r="BG27">
            <v>7.0213178924477485E-3</v>
          </cell>
          <cell r="BH27">
            <v>7.1417826616619936E-3</v>
          </cell>
          <cell r="BI27">
            <v>5.5949122037292831E-3</v>
          </cell>
          <cell r="BJ27">
            <v>3.1546259057535905E-3</v>
          </cell>
          <cell r="BK27">
            <v>1.7068561151411393E-3</v>
          </cell>
          <cell r="BL27">
            <v>8.5901959324954772E-4</v>
          </cell>
          <cell r="BM27">
            <v>4.5747048973977843E-4</v>
          </cell>
          <cell r="BN27">
            <v>2.3015212464754927E-4</v>
          </cell>
          <cell r="BO27">
            <v>7.2676089091100322E-5</v>
          </cell>
          <cell r="BP27">
            <v>3.7169915090513926E-5</v>
          </cell>
          <cell r="BQ27">
            <v>1.9919915846646998E-5</v>
          </cell>
          <cell r="BR27">
            <v>1.0416707175777016E-5</v>
          </cell>
          <cell r="BS27">
            <v>5.3160213028260909E-6</v>
          </cell>
          <cell r="BT27">
            <v>2.6451446951104721E-6</v>
          </cell>
          <cell r="BU27">
            <v>1.3618653008577108E-6</v>
          </cell>
          <cell r="BV27">
            <v>6.9021016822278979E-7</v>
          </cell>
          <cell r="BW27">
            <v>3.5780537849984125E-7</v>
          </cell>
          <cell r="BX27">
            <v>9.6925771652457773E-8</v>
          </cell>
          <cell r="BY27">
            <v>1.6454169648516832E-10</v>
          </cell>
        </row>
        <row r="28">
          <cell r="B28">
            <v>4.7905141871850428E-9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2.3681281208664696E-11</v>
          </cell>
          <cell r="J28">
            <v>0</v>
          </cell>
          <cell r="K28">
            <v>0</v>
          </cell>
          <cell r="L28">
            <v>0</v>
          </cell>
          <cell r="M28">
            <v>2.1647229305036061E-9</v>
          </cell>
          <cell r="N28">
            <v>3.4621740624572754E-9</v>
          </cell>
          <cell r="O28">
            <v>1.8984478228338874E-8</v>
          </cell>
          <cell r="P28">
            <v>9.4613901183862379E-9</v>
          </cell>
          <cell r="Q28">
            <v>1.0954392606040671E-8</v>
          </cell>
          <cell r="R28">
            <v>1.0521561941404621E-8</v>
          </cell>
          <cell r="S28">
            <v>4.8047785666461241E-8</v>
          </cell>
          <cell r="T28">
            <v>9.6648075651960479E-8</v>
          </cell>
          <cell r="U28">
            <v>1.407399210819911E-7</v>
          </cell>
          <cell r="V28">
            <v>2.1458346489703584E-7</v>
          </cell>
          <cell r="W28">
            <v>3.3632715257101513E-7</v>
          </cell>
          <cell r="X28">
            <v>5.3610126739818159E-7</v>
          </cell>
          <cell r="Y28">
            <v>8.9634537427449834E-7</v>
          </cell>
          <cell r="Z28">
            <v>1.4862639333948372E-6</v>
          </cell>
          <cell r="AA28">
            <v>2.3651210730941783E-6</v>
          </cell>
          <cell r="AB28">
            <v>3.6245956091596547E-6</v>
          </cell>
          <cell r="AC28">
            <v>5.4132272691880657E-6</v>
          </cell>
          <cell r="AD28">
            <v>8.1594205887707923E-6</v>
          </cell>
          <cell r="AE28">
            <v>1.3260357773450684E-5</v>
          </cell>
          <cell r="AF28">
            <v>2.0412968026690809E-5</v>
          </cell>
          <cell r="AG28">
            <v>3.1314266816584579E-5</v>
          </cell>
          <cell r="AH28">
            <v>5.2596316792443931E-5</v>
          </cell>
          <cell r="AI28">
            <v>9.4010044325142802E-5</v>
          </cell>
          <cell r="AJ28">
            <v>1.8295168151795911E-4</v>
          </cell>
          <cell r="AK28">
            <v>3.8855091685754592E-4</v>
          </cell>
          <cell r="AL28">
            <v>8.9742593880095818E-4</v>
          </cell>
          <cell r="AM28">
            <v>2.1529529917928545E-3</v>
          </cell>
          <cell r="AN28">
            <v>5.1965328416202824E-3</v>
          </cell>
          <cell r="AO28">
            <v>1.2178826588015409E-2</v>
          </cell>
          <cell r="AP28">
            <v>2.6075136444646346E-2</v>
          </cell>
          <cell r="AQ28">
            <v>4.6470378963950752E-2</v>
          </cell>
          <cell r="AR28">
            <v>6.7514926257491378E-2</v>
          </cell>
          <cell r="AS28">
            <v>8.1597008867560036E-2</v>
          </cell>
          <cell r="AT28">
            <v>8.7865594681065431E-2</v>
          </cell>
          <cell r="AU28">
            <v>8.7783789082615554E-2</v>
          </cell>
          <cell r="AV28">
            <v>8.2067917805619103E-2</v>
          </cell>
          <cell r="AW28">
            <v>7.3828096384764869E-2</v>
          </cell>
          <cell r="AX28">
            <v>6.3325697214234047E-2</v>
          </cell>
          <cell r="AY28">
            <v>5.3899968720985278E-2</v>
          </cell>
          <cell r="AZ28">
            <v>4.7342832122609362E-2</v>
          </cell>
          <cell r="BA28">
            <v>4.2413037288169426E-2</v>
          </cell>
          <cell r="BB28">
            <v>3.7258089860834197E-2</v>
          </cell>
          <cell r="BC28">
            <v>3.2481105513239961E-2</v>
          </cell>
          <cell r="BD28">
            <v>2.7818362357632503E-2</v>
          </cell>
          <cell r="BE28">
            <v>2.3662915839090182E-2</v>
          </cell>
          <cell r="BF28">
            <v>1.9995088677259843E-2</v>
          </cell>
          <cell r="BG28">
            <v>1.6791832671801482E-2</v>
          </cell>
          <cell r="BH28">
            <v>1.8960474983770736E-2</v>
          </cell>
          <cell r="BI28">
            <v>1.6893542773970344E-2</v>
          </cell>
          <cell r="BJ28">
            <v>1.0703373742742262E-2</v>
          </cell>
          <cell r="BK28">
            <v>6.4325717087659303E-3</v>
          </cell>
          <cell r="BL28">
            <v>3.5578842410236137E-3</v>
          </cell>
          <cell r="BM28">
            <v>2.0628191637240187E-3</v>
          </cell>
          <cell r="BN28">
            <v>1.1203413891163788E-3</v>
          </cell>
          <cell r="BO28">
            <v>3.7948371442833649E-4</v>
          </cell>
          <cell r="BP28">
            <v>2.0725113980087895E-4</v>
          </cell>
          <cell r="BQ28">
            <v>1.1824766238590904E-4</v>
          </cell>
          <cell r="BR28">
            <v>6.5709865522549523E-5</v>
          </cell>
          <cell r="BS28">
            <v>3.5598103922625666E-5</v>
          </cell>
          <cell r="BT28">
            <v>1.8792112807976968E-5</v>
          </cell>
          <cell r="BU28">
            <v>1.0261867692021693E-5</v>
          </cell>
          <cell r="BV28">
            <v>5.5145045056519299E-6</v>
          </cell>
          <cell r="BW28">
            <v>3.1619372622364565E-6</v>
          </cell>
          <cell r="BX28">
            <v>9.7545069177691258E-7</v>
          </cell>
          <cell r="BY28">
            <v>4.1875273220582499E-9</v>
          </cell>
        </row>
        <row r="29">
          <cell r="B29">
            <v>7.1318473957930908E-2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1.7386663160956161E-5</v>
          </cell>
          <cell r="J29">
            <v>0</v>
          </cell>
          <cell r="K29">
            <v>0</v>
          </cell>
          <cell r="L29">
            <v>0</v>
          </cell>
          <cell r="M29">
            <v>5.5244172330964458E-4</v>
          </cell>
          <cell r="N29">
            <v>4.0815139130006862E-4</v>
          </cell>
          <cell r="O29">
            <v>1.700395994043217E-3</v>
          </cell>
          <cell r="P29">
            <v>3.6738159211920085E-4</v>
          </cell>
          <cell r="Q29">
            <v>3.8620225118547751E-4</v>
          </cell>
          <cell r="R29">
            <v>2.6834144730325342E-4</v>
          </cell>
          <cell r="S29">
            <v>1.0142289012712248E-3</v>
          </cell>
          <cell r="T29">
            <v>1.54734090820084E-3</v>
          </cell>
          <cell r="U29">
            <v>1.6969872566095932E-3</v>
          </cell>
          <cell r="V29">
            <v>1.9149860845186237E-3</v>
          </cell>
          <cell r="W29">
            <v>2.2098592248726259E-3</v>
          </cell>
          <cell r="X29">
            <v>2.587378275171308E-3</v>
          </cell>
          <cell r="Y29">
            <v>3.1749311610446483E-3</v>
          </cell>
          <cell r="Z29">
            <v>3.8739787664834467E-3</v>
          </cell>
          <cell r="AA29">
            <v>4.5519249160496074E-3</v>
          </cell>
          <cell r="AB29">
            <v>5.1805139619575495E-3</v>
          </cell>
          <cell r="AC29">
            <v>5.7513941311823739E-3</v>
          </cell>
          <cell r="AD29">
            <v>6.4278474603109235E-3</v>
          </cell>
          <cell r="AE29">
            <v>7.6681010304397315E-3</v>
          </cell>
          <cell r="AF29">
            <v>8.5209114980460236E-3</v>
          </cell>
          <cell r="AG29">
            <v>9.313331699478811E-3</v>
          </cell>
          <cell r="AH29">
            <v>1.105683373385374E-2</v>
          </cell>
          <cell r="AI29">
            <v>1.3867525076483762E-2</v>
          </cell>
          <cell r="AJ29">
            <v>1.8633637828922387E-2</v>
          </cell>
          <cell r="AK29">
            <v>2.6506075596602983E-2</v>
          </cell>
          <cell r="AL29">
            <v>3.9587073268884616E-2</v>
          </cell>
          <cell r="AM29">
            <v>5.8972735451538159E-2</v>
          </cell>
          <cell r="AN29">
            <v>8.5024277092048531E-2</v>
          </cell>
          <cell r="AO29">
            <v>0.11448114139387811</v>
          </cell>
          <cell r="AP29">
            <v>0.13582119790198455</v>
          </cell>
          <cell r="AQ29">
            <v>0.1299274533336936</v>
          </cell>
          <cell r="AR29">
            <v>9.8523385446858888E-2</v>
          </cell>
          <cell r="AS29">
            <v>6.0998917656004306E-2</v>
          </cell>
          <cell r="AT29">
            <v>3.3281629957525004E-2</v>
          </cell>
          <cell r="AU29">
            <v>1.6856755135629529E-2</v>
          </cell>
          <cell r="AV29">
            <v>8.1133350567038146E-3</v>
          </cell>
          <cell r="AW29">
            <v>3.8837782827834733E-3</v>
          </cell>
          <cell r="AX29">
            <v>1.853586903259328E-3</v>
          </cell>
          <cell r="AY29">
            <v>9.2546191729279091E-4</v>
          </cell>
          <cell r="AZ29">
            <v>5.0292678301017211E-4</v>
          </cell>
          <cell r="BA29">
            <v>2.926827002010394E-4</v>
          </cell>
          <cell r="BB29">
            <v>1.7327419525958105E-4</v>
          </cell>
          <cell r="BC29">
            <v>1.0473454237507786E-4</v>
          </cell>
          <cell r="BD29">
            <v>6.3478908218924591E-5</v>
          </cell>
          <cell r="BE29">
            <v>3.8743752864606789E-5</v>
          </cell>
          <cell r="BF29">
            <v>2.3720706927107469E-5</v>
          </cell>
          <cell r="BG29">
            <v>1.4551282804785766E-5</v>
          </cell>
          <cell r="BH29">
            <v>1.039671231991869E-5</v>
          </cell>
          <cell r="BI29">
            <v>5.1762060945746949E-6</v>
          </cell>
          <cell r="BJ29">
            <v>1.9084985446856273E-6</v>
          </cell>
          <cell r="BK29">
            <v>7.0359839628457219E-7</v>
          </cell>
          <cell r="BL29">
            <v>2.5324032324046907E-7</v>
          </cell>
          <cell r="BM29">
            <v>1.011886849755192E-7</v>
          </cell>
          <cell r="BN29">
            <v>3.9494272423030287E-8</v>
          </cell>
          <cell r="BO29">
            <v>9.8747364230272105E-9</v>
          </cell>
          <cell r="BP29">
            <v>4.0363181988164206E-9</v>
          </cell>
          <cell r="BQ29">
            <v>1.734438408029005E-9</v>
          </cell>
          <cell r="BR29">
            <v>7.2591649874958967E-10</v>
          </cell>
          <cell r="BS29">
            <v>2.9593724868974965E-10</v>
          </cell>
          <cell r="BT29">
            <v>1.1734518214792089E-10</v>
          </cell>
          <cell r="BU29">
            <v>4.8011588619183362E-11</v>
          </cell>
          <cell r="BV29">
            <v>1.9305861259240796E-11</v>
          </cell>
          <cell r="BW29">
            <v>6.693100071543164E-12</v>
          </cell>
          <cell r="BX29">
            <v>1.062621316368777E-12</v>
          </cell>
          <cell r="BY29">
            <v>6.2759817760644405E-17</v>
          </cell>
        </row>
        <row r="30">
          <cell r="B30">
            <v>0.11955187906307072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5.2254328439824024E-7</v>
          </cell>
          <cell r="J30">
            <v>0</v>
          </cell>
          <cell r="K30">
            <v>0</v>
          </cell>
          <cell r="L30">
            <v>0</v>
          </cell>
          <cell r="M30">
            <v>2.3400597022667682E-5</v>
          </cell>
          <cell r="N30">
            <v>2.2233613913708053E-5</v>
          </cell>
          <cell r="O30">
            <v>1.0127678865252646E-4</v>
          </cell>
          <cell r="P30">
            <v>2.8639294811736826E-5</v>
          </cell>
          <cell r="Q30">
            <v>3.1327058667610605E-5</v>
          </cell>
          <cell r="R30">
            <v>2.370561891389794E-5</v>
          </cell>
          <cell r="S30">
            <v>9.5379611784166427E-5</v>
          </cell>
          <cell r="T30">
            <v>1.594340707021066E-4</v>
          </cell>
          <cell r="U30">
            <v>1.9201881944737182E-4</v>
          </cell>
          <cell r="V30">
            <v>2.3910868489266946E-4</v>
          </cell>
          <cell r="W30">
            <v>3.0504255345657712E-4</v>
          </cell>
          <cell r="X30">
            <v>3.9531785933448786E-4</v>
          </cell>
          <cell r="Y30">
            <v>5.3744552609894447E-4</v>
          </cell>
          <cell r="Z30">
            <v>7.2665782640826161E-4</v>
          </cell>
          <cell r="AA30">
            <v>9.4636002519062621E-4</v>
          </cell>
          <cell r="AB30">
            <v>1.1934001844091503E-3</v>
          </cell>
          <cell r="AC30">
            <v>1.4694457213356756E-3</v>
          </cell>
          <cell r="AD30">
            <v>1.824281857702551E-3</v>
          </cell>
          <cell r="AE30">
            <v>2.4249972089700096E-3</v>
          </cell>
          <cell r="AF30">
            <v>3.0150388649273548E-3</v>
          </cell>
          <cell r="AG30">
            <v>3.6962986749383615E-3</v>
          </cell>
          <cell r="AH30">
            <v>4.9223716650605214E-3</v>
          </cell>
          <cell r="AI30">
            <v>6.9146177294318774E-3</v>
          </cell>
          <cell r="AJ30">
            <v>1.0401224140350168E-2</v>
          </cell>
          <cell r="AK30">
            <v>1.652743934002469E-2</v>
          </cell>
          <cell r="AL30">
            <v>2.750582193356137E-2</v>
          </cell>
          <cell r="AM30">
            <v>4.5523313683126461E-2</v>
          </cell>
          <cell r="AN30">
            <v>7.2587672776463122E-2</v>
          </cell>
          <cell r="AO30">
            <v>0.10751723458666861</v>
          </cell>
          <cell r="AP30">
            <v>0.13940632474858003</v>
          </cell>
          <cell r="AQ30">
            <v>0.144599147220484</v>
          </cell>
          <cell r="AR30">
            <v>0.11784362548721118</v>
          </cell>
          <cell r="AS30">
            <v>7.7637514970402347E-2</v>
          </cell>
          <cell r="AT30">
            <v>4.4615073903779313E-2</v>
          </cell>
          <cell r="AU30">
            <v>2.3555922634034058E-2</v>
          </cell>
          <cell r="AV30">
            <v>1.1701727063731623E-2</v>
          </cell>
          <cell r="AW30">
            <v>5.7285026486832693E-3</v>
          </cell>
          <cell r="AX30">
            <v>2.773199736268472E-3</v>
          </cell>
          <cell r="AY30">
            <v>1.3946025074381733E-3</v>
          </cell>
          <cell r="AZ30">
            <v>7.5896384970690475E-4</v>
          </cell>
          <cell r="BA30">
            <v>4.4034827027948431E-4</v>
          </cell>
          <cell r="BB30">
            <v>2.5894644282184215E-4</v>
          </cell>
          <cell r="BC30">
            <v>1.5504715504945852E-4</v>
          </cell>
          <cell r="BD30">
            <v>9.2919166854225324E-5</v>
          </cell>
          <cell r="BE30">
            <v>5.5994965243186221E-5</v>
          </cell>
          <cell r="BF30">
            <v>3.3813093656242297E-5</v>
          </cell>
          <cell r="BG30">
            <v>2.0442883778235943E-5</v>
          </cell>
          <cell r="BH30">
            <v>1.4274571797769804E-5</v>
          </cell>
          <cell r="BI30">
            <v>6.8840750584061572E-6</v>
          </cell>
          <cell r="BJ30">
            <v>2.4554998501441634E-6</v>
          </cell>
          <cell r="BK30">
            <v>8.7553626363797385E-7</v>
          </cell>
          <cell r="BL30">
            <v>3.0484727212008321E-7</v>
          </cell>
          <cell r="BM30">
            <v>1.1810424421244229E-7</v>
          </cell>
          <cell r="BN30">
            <v>4.4653769679043106E-8</v>
          </cell>
          <cell r="BO30">
            <v>1.0811617065838092E-8</v>
          </cell>
          <cell r="BP30">
            <v>4.2762234765035292E-9</v>
          </cell>
          <cell r="BQ30">
            <v>1.7780060157303003E-9</v>
          </cell>
          <cell r="BR30">
            <v>7.1882139602661584E-10</v>
          </cell>
          <cell r="BS30">
            <v>2.8296216908920541E-10</v>
          </cell>
          <cell r="BT30">
            <v>1.0824302835727113E-10</v>
          </cell>
          <cell r="BU30">
            <v>4.2662057761013016E-11</v>
          </cell>
          <cell r="BV30">
            <v>1.6499882919476641E-11</v>
          </cell>
          <cell r="BW30">
            <v>5.3290619941178806E-12</v>
          </cell>
          <cell r="BX30">
            <v>7.5520613897894538E-13</v>
          </cell>
          <cell r="BY30">
            <v>4.4365699407194835E-17</v>
          </cell>
        </row>
        <row r="31">
          <cell r="B31">
            <v>0.21453773382856051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1.3767001645602544E-8</v>
          </cell>
          <cell r="J31">
            <v>0</v>
          </cell>
          <cell r="K31">
            <v>0</v>
          </cell>
          <cell r="L31">
            <v>0</v>
          </cell>
          <cell r="M31">
            <v>8.7725852103898992E-7</v>
          </cell>
          <cell r="N31">
            <v>1.0807984262416338E-6</v>
          </cell>
          <cell r="O31">
            <v>5.3784211611259005E-6</v>
          </cell>
          <cell r="P31">
            <v>2.0038171051568869E-6</v>
          </cell>
          <cell r="Q31">
            <v>2.2773953898039754E-6</v>
          </cell>
          <cell r="R31">
            <v>1.8703237921798226E-6</v>
          </cell>
          <cell r="S31">
            <v>8.0146406412429678E-6</v>
          </cell>
          <cell r="T31">
            <v>1.4684584558549188E-5</v>
          </cell>
          <cell r="U31">
            <v>1.9422685275916848E-5</v>
          </cell>
          <cell r="V31">
            <v>2.6672671874358291E-5</v>
          </cell>
          <cell r="W31">
            <v>3.7577267582282777E-5</v>
          </cell>
          <cell r="X31">
            <v>5.3818535260737079E-5</v>
          </cell>
          <cell r="Y31">
            <v>8.0905699901094816E-5</v>
          </cell>
          <cell r="Z31">
            <v>1.2092765657749241E-4</v>
          </cell>
          <cell r="AA31">
            <v>1.7410303253232552E-4</v>
          </cell>
          <cell r="AB31">
            <v>2.4257049794620971E-4</v>
          </cell>
          <cell r="AC31">
            <v>3.3018528342475956E-4</v>
          </cell>
          <cell r="AD31">
            <v>4.5358217195079275E-4</v>
          </cell>
          <cell r="AE31">
            <v>6.6862808025466651E-4</v>
          </cell>
          <cell r="AF31">
            <v>9.2455663335598245E-4</v>
          </cell>
          <cell r="AG31">
            <v>1.2624841082711717E-3</v>
          </cell>
          <cell r="AH31">
            <v>1.8718284310424889E-3</v>
          </cell>
          <cell r="AI31">
            <v>2.9236404591114515E-3</v>
          </cell>
          <cell r="AJ31">
            <v>4.8882916250990128E-3</v>
          </cell>
          <cell r="AK31">
            <v>8.6219606449752396E-3</v>
          </cell>
          <cell r="AL31">
            <v>1.5905309288455693E-2</v>
          </cell>
          <cell r="AM31">
            <v>2.9142981982947281E-2</v>
          </cell>
          <cell r="AN31">
            <v>5.1331774574862127E-2</v>
          </cell>
          <cell r="AO31">
            <v>8.38097254153264E-2</v>
          </cell>
          <cell r="AP31">
            <v>0.11947909129064282</v>
          </cell>
          <cell r="AQ31">
            <v>0.13583385775419246</v>
          </cell>
          <cell r="AR31">
            <v>0.12091384967634779</v>
          </cell>
          <cell r="AS31">
            <v>8.6640991451088181E-2</v>
          </cell>
          <cell r="AT31">
            <v>5.3915504117384105E-2</v>
          </cell>
          <cell r="AU31">
            <v>3.068532478964673E-2</v>
          </cell>
          <cell r="AV31">
            <v>1.635236746024693E-2</v>
          </cell>
          <cell r="AW31">
            <v>8.5424233010402834E-3</v>
          </cell>
          <cell r="AX31">
            <v>4.391473988478921E-3</v>
          </cell>
          <cell r="AY31">
            <v>2.3339270069134025E-3</v>
          </cell>
          <cell r="AZ31">
            <v>1.3360286193208218E-3</v>
          </cell>
          <cell r="BA31">
            <v>8.1149069093336922E-4</v>
          </cell>
          <cell r="BB31">
            <v>4.976108259854273E-4</v>
          </cell>
          <cell r="BC31">
            <v>3.095061455209567E-4</v>
          </cell>
          <cell r="BD31">
            <v>1.9197785217616876E-4</v>
          </cell>
          <cell r="BE31">
            <v>1.1937705771212132E-4</v>
          </cell>
          <cell r="BF31">
            <v>7.4190530954693453E-5</v>
          </cell>
          <cell r="BG31">
            <v>4.6058561204354362E-5</v>
          </cell>
          <cell r="BH31">
            <v>3.3354924166007819E-5</v>
          </cell>
          <cell r="BI31">
            <v>1.6805817446012399E-5</v>
          </cell>
          <cell r="BJ31">
            <v>6.2418907345677314E-6</v>
          </cell>
          <cell r="BK31">
            <v>2.3112525682971626E-6</v>
          </cell>
          <cell r="BL31">
            <v>8.3391912888304615E-7</v>
          </cell>
          <cell r="BM31">
            <v>3.3362360470723041E-7</v>
          </cell>
          <cell r="BN31">
            <v>1.302769416414707E-7</v>
          </cell>
          <cell r="BO31">
            <v>3.257366908752827E-8</v>
          </cell>
          <cell r="BP31">
            <v>1.3310044225972153E-8</v>
          </cell>
          <cell r="BQ31">
            <v>5.7160433465655042E-9</v>
          </cell>
          <cell r="BR31">
            <v>2.390181898011301E-9</v>
          </cell>
          <cell r="BS31">
            <v>9.7329957046759619E-10</v>
          </cell>
          <cell r="BT31">
            <v>3.8538631536314379E-10</v>
          </cell>
          <cell r="BU31">
            <v>1.5741158158245373E-10</v>
          </cell>
          <cell r="BV31">
            <v>6.3168275096276863E-11</v>
          </cell>
          <cell r="BW31">
            <v>2.1802785283801584E-11</v>
          </cell>
          <cell r="BX31">
            <v>3.4284408158627581E-12</v>
          </cell>
          <cell r="BY31">
            <v>2.1900685972717116E-16</v>
          </cell>
        </row>
        <row r="32">
          <cell r="B32">
            <v>7.5622192315920586E-2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5.1284182952944302E-7</v>
          </cell>
          <cell r="J32">
            <v>0</v>
          </cell>
          <cell r="K32">
            <v>0</v>
          </cell>
          <cell r="L32">
            <v>0</v>
          </cell>
          <cell r="M32">
            <v>2.1140328708802464E-5</v>
          </cell>
          <cell r="N32">
            <v>1.8876875563659278E-5</v>
          </cell>
          <cell r="O32">
            <v>8.4180433600211831E-5</v>
          </cell>
          <cell r="P32">
            <v>2.2309435272851521E-5</v>
          </cell>
          <cell r="Q32">
            <v>2.4023236302937613E-5</v>
          </cell>
          <cell r="R32">
            <v>1.8081612386907435E-5</v>
          </cell>
          <cell r="S32">
            <v>7.1565574258687664E-5</v>
          </cell>
          <cell r="T32">
            <v>1.1677267293494687E-4</v>
          </cell>
          <cell r="U32">
            <v>1.3716804565195819E-4</v>
          </cell>
          <cell r="V32">
            <v>1.6644300430051939E-4</v>
          </cell>
          <cell r="W32">
            <v>2.0669675679627631E-4</v>
          </cell>
          <cell r="X32">
            <v>2.6040902674168267E-4</v>
          </cell>
          <cell r="Y32">
            <v>3.4359786230001303E-4</v>
          </cell>
          <cell r="Z32">
            <v>4.4997993613034808E-4</v>
          </cell>
          <cell r="AA32">
            <v>5.6610090711336591E-4</v>
          </cell>
          <cell r="AB32">
            <v>6.8748472711668916E-4</v>
          </cell>
          <cell r="AC32">
            <v>8.1223732019050556E-4</v>
          </cell>
          <cell r="AD32">
            <v>9.6397869135891184E-4</v>
          </cell>
          <cell r="AE32">
            <v>1.2206460684338278E-3</v>
          </cell>
          <cell r="AF32">
            <v>1.4421734756223754E-3</v>
          </cell>
          <cell r="AG32">
            <v>1.6797519706832167E-3</v>
          </cell>
          <cell r="AH32">
            <v>2.1334301483831278E-3</v>
          </cell>
          <cell r="AI32">
            <v>2.8850565574958858E-3</v>
          </cell>
          <cell r="AJ32">
            <v>4.2439083518582815E-3</v>
          </cell>
          <cell r="AK32">
            <v>6.7795884321203677E-3</v>
          </cell>
          <cell r="AL32">
            <v>1.1728233988402895E-2</v>
          </cell>
          <cell r="AM32">
            <v>2.0952621107253107E-2</v>
          </cell>
          <cell r="AN32">
            <v>3.7476428967234257E-2</v>
          </cell>
          <cell r="AO32">
            <v>6.4654815703305807E-2</v>
          </cell>
          <cell r="AP32">
            <v>0.10116049092201258</v>
          </cell>
          <cell r="AQ32">
            <v>0.13077174450800375</v>
          </cell>
          <cell r="AR32">
            <v>0.13670295725836659</v>
          </cell>
          <cell r="AS32">
            <v>0.11814592049978738</v>
          </cell>
          <cell r="AT32">
            <v>9.0472843159600774E-2</v>
          </cell>
          <cell r="AU32">
            <v>6.4070338519360323E-2</v>
          </cell>
          <cell r="AV32">
            <v>4.2499108119116197E-2</v>
          </cell>
          <cell r="AW32">
            <v>2.7339307383599926E-2</v>
          </cell>
          <cell r="AX32">
            <v>1.7000833025452435E-2</v>
          </cell>
          <cell r="AY32">
            <v>1.0711699619352645E-2</v>
          </cell>
          <cell r="AZ32">
            <v>7.1528459278835665E-3</v>
          </cell>
          <cell r="BA32">
            <v>5.0250085944185856E-3</v>
          </cell>
          <cell r="BB32">
            <v>3.5664660710321094E-3</v>
          </cell>
          <cell r="BC32">
            <v>2.5847520076763423E-3</v>
          </cell>
          <cell r="BD32">
            <v>1.8866165573511071E-3</v>
          </cell>
          <cell r="BE32">
            <v>1.3952068108913445E-3</v>
          </cell>
          <cell r="BF32">
            <v>1.0410655317316529E-3</v>
          </cell>
          <cell r="BG32">
            <v>7.8140625436583331E-4</v>
          </cell>
          <cell r="BH32">
            <v>7.5745406657272798E-4</v>
          </cell>
          <cell r="BI32">
            <v>5.6118104058745387E-4</v>
          </cell>
          <cell r="BJ32">
            <v>2.9901595544268186E-4</v>
          </cell>
          <cell r="BK32">
            <v>1.5199171505971264E-4</v>
          </cell>
          <cell r="BL32">
            <v>7.1292894637526747E-5</v>
          </cell>
          <cell r="BM32">
            <v>3.5160621739963071E-5</v>
          </cell>
          <cell r="BN32">
            <v>1.620572876546922E-5</v>
          </cell>
          <cell r="BO32">
            <v>4.6463482853200527E-6</v>
          </cell>
          <cell r="BP32">
            <v>2.1410198080128975E-6</v>
          </cell>
          <cell r="BQ32">
            <v>1.0283143519465227E-6</v>
          </cell>
          <cell r="BR32">
            <v>4.7919400117326879E-7</v>
          </cell>
          <cell r="BS32">
            <v>2.1727315784415947E-7</v>
          </cell>
          <cell r="BT32">
            <v>9.5810416902922665E-8</v>
          </cell>
          <cell r="BU32">
            <v>4.3605980700911102E-8</v>
          </cell>
          <cell r="BV32">
            <v>1.9504022303756266E-8</v>
          </cell>
          <cell r="BW32">
            <v>8.1274594254966179E-9</v>
          </cell>
          <cell r="BX32">
            <v>1.6338741910421735E-9</v>
          </cell>
          <cell r="BY32">
            <v>5.6096832167409207E-13</v>
          </cell>
        </row>
        <row r="33">
          <cell r="B33">
            <v>0.12351490000327174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1.5244497448339668E-8</v>
          </cell>
          <cell r="J33">
            <v>0</v>
          </cell>
          <cell r="K33">
            <v>0</v>
          </cell>
          <cell r="L33">
            <v>0</v>
          </cell>
          <cell r="M33">
            <v>8.4837373755167735E-7</v>
          </cell>
          <cell r="N33">
            <v>9.4549994921330875E-7</v>
          </cell>
          <cell r="O33">
            <v>4.552069342605676E-6</v>
          </cell>
          <cell r="P33">
            <v>1.5318301471050838E-6</v>
          </cell>
          <cell r="Q33">
            <v>1.7003632989206231E-6</v>
          </cell>
          <cell r="R33">
            <v>1.3867105596597752E-6</v>
          </cell>
          <cell r="S33">
            <v>5.7967283904028021E-6</v>
          </cell>
          <cell r="T33">
            <v>1.024505423367201E-5</v>
          </cell>
          <cell r="U33">
            <v>1.3062331101833572E-5</v>
          </cell>
          <cell r="V33">
            <v>1.7282169669907415E-5</v>
          </cell>
          <cell r="W33">
            <v>2.3440144457553611E-5</v>
          </cell>
          <cell r="X33">
            <v>3.2288446700714111E-5</v>
          </cell>
          <cell r="Y33">
            <v>4.6620987992325407E-5</v>
          </cell>
          <cell r="Z33">
            <v>6.6819820777131263E-5</v>
          </cell>
          <cell r="AA33">
            <v>9.2021254738763753E-5</v>
          </cell>
          <cell r="AB33">
            <v>1.2229737570458815E-4</v>
          </cell>
          <cell r="AC33">
            <v>1.5828408765504768E-4</v>
          </cell>
          <cell r="AD33">
            <v>2.0614546898620499E-4</v>
          </cell>
          <cell r="AE33">
            <v>2.8742538175386805E-4</v>
          </cell>
          <cell r="AF33">
            <v>3.7565259831265005E-4</v>
          </cell>
          <cell r="AG33">
            <v>4.8556513321254172E-4</v>
          </cell>
          <cell r="AH33">
            <v>6.8515481207902175E-4</v>
          </cell>
          <cell r="AI33">
            <v>1.0291897097848318E-3</v>
          </cell>
          <cell r="AJ33">
            <v>1.6825808515108685E-3</v>
          </cell>
          <cell r="AK33">
            <v>2.9891279389099288E-3</v>
          </cell>
          <cell r="AL33">
            <v>5.7523984976125238E-3</v>
          </cell>
          <cell r="AM33">
            <v>1.1437873570615705E-2</v>
          </cell>
          <cell r="AN33">
            <v>2.2758930683805485E-2</v>
          </cell>
          <cell r="AO33">
            <v>4.3657427204966008E-2</v>
          </cell>
          <cell r="AP33">
            <v>7.5865225807729295E-2</v>
          </cell>
          <cell r="AQ33">
            <v>0.10870058999337293</v>
          </cell>
          <cell r="AR33">
            <v>0.12558660015200981</v>
          </cell>
          <cell r="AS33">
            <v>0.1194376268295803</v>
          </cell>
          <cell r="AT33">
            <v>0.10011701659227831</v>
          </cell>
          <cell r="AU33">
            <v>7.7116503232073183E-2</v>
          </cell>
          <cell r="AV33">
            <v>5.5221993441886864E-2</v>
          </cell>
          <cell r="AW33">
            <v>3.8020697428241552E-2</v>
          </cell>
          <cell r="AX33">
            <v>2.5078619222330199E-2</v>
          </cell>
          <cell r="AY33">
            <v>1.6606084854077812E-2</v>
          </cell>
          <cell r="AZ33">
            <v>1.1547481884192686E-2</v>
          </cell>
          <cell r="BA33">
            <v>8.3740196480063932E-3</v>
          </cell>
          <cell r="BB33">
            <v>6.0868539637995477E-3</v>
          </cell>
          <cell r="BC33">
            <v>4.4861549413361809E-3</v>
          </cell>
          <cell r="BD33">
            <v>3.3103054492706879E-3</v>
          </cell>
          <cell r="BE33">
            <v>2.4628737719186696E-3</v>
          </cell>
          <cell r="BF33">
            <v>1.8417388763093605E-3</v>
          </cell>
          <cell r="BG33">
            <v>1.3813217736401145E-3</v>
          </cell>
          <cell r="BH33">
            <v>1.3322642672168566E-3</v>
          </cell>
          <cell r="BI33">
            <v>9.7635590199729905E-4</v>
          </cell>
          <cell r="BJ33">
            <v>5.134213324214773E-4</v>
          </cell>
          <cell r="BK33">
            <v>2.5742070888525281E-4</v>
          </cell>
          <cell r="BL33">
            <v>1.1911510612849522E-4</v>
          </cell>
          <cell r="BM33">
            <v>5.8005233023945989E-5</v>
          </cell>
          <cell r="BN33">
            <v>2.6396038020356733E-5</v>
          </cell>
          <cell r="BO33">
            <v>7.4722480541386579E-6</v>
          </cell>
          <cell r="BP33">
            <v>3.398639656823982E-6</v>
          </cell>
          <cell r="BQ33">
            <v>1.6110400155967753E-6</v>
          </cell>
          <cell r="BR33">
            <v>7.403254860269376E-7</v>
          </cell>
          <cell r="BS33">
            <v>3.3088479544468503E-7</v>
          </cell>
          <cell r="BT33">
            <v>1.4373670897563964E-7</v>
          </cell>
          <cell r="BU33">
            <v>6.4389230779335462E-8</v>
          </cell>
          <cell r="BV33">
            <v>2.8320608848232161E-8</v>
          </cell>
          <cell r="BW33">
            <v>1.143646222537948E-8</v>
          </cell>
          <cell r="BX33">
            <v>2.1806467971919742E-9</v>
          </cell>
          <cell r="BY33">
            <v>8.1078319173882215E-13</v>
          </cell>
        </row>
        <row r="34">
          <cell r="B34">
            <v>0.23613305686382194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4.2769558952861513E-10</v>
          </cell>
          <cell r="J34">
            <v>0</v>
          </cell>
          <cell r="K34">
            <v>0</v>
          </cell>
          <cell r="L34">
            <v>0</v>
          </cell>
          <cell r="M34">
            <v>3.2198183166329289E-8</v>
          </cell>
          <cell r="N34">
            <v>4.4861862876462833E-8</v>
          </cell>
          <cell r="O34">
            <v>2.329326310929855E-7</v>
          </cell>
          <cell r="P34">
            <v>9.959417448237021E-8</v>
          </cell>
          <cell r="Q34">
            <v>1.1375862892451286E-7</v>
          </cell>
          <cell r="R34">
            <v>1.0047492126818215E-7</v>
          </cell>
          <cell r="S34">
            <v>4.4334449405866963E-7</v>
          </cell>
          <cell r="T34">
            <v>8.4789188322698149E-7</v>
          </cell>
          <cell r="U34">
            <v>1.1719565245389247E-6</v>
          </cell>
          <cell r="V34">
            <v>1.6880585029682677E-6</v>
          </cell>
          <cell r="W34">
            <v>2.4959665819536584E-6</v>
          </cell>
          <cell r="X34">
            <v>3.7509673856806176E-6</v>
          </cell>
          <cell r="Y34">
            <v>5.9118456086314818E-6</v>
          </cell>
          <cell r="Z34">
            <v>9.2466841823749539E-6</v>
          </cell>
          <cell r="AA34">
            <v>1.3895295033477663E-5</v>
          </cell>
          <cell r="AB34">
            <v>2.0138538811475688E-5</v>
          </cell>
          <cell r="AC34">
            <v>2.8441219186598302E-5</v>
          </cell>
          <cell r="AD34">
            <v>4.0469098867604121E-5</v>
          </cell>
          <cell r="AE34">
            <v>6.1817834217966225E-5</v>
          </cell>
          <cell r="AF34">
            <v>8.8852878305515363E-5</v>
          </cell>
          <cell r="AG34">
            <v>1.2661678753635348E-4</v>
          </cell>
          <cell r="AH34">
            <v>1.9705267681457256E-4</v>
          </cell>
          <cell r="AI34">
            <v>3.2625554154798594E-4</v>
          </cell>
          <cell r="AJ34">
            <v>5.8783269590293905E-4</v>
          </cell>
          <cell r="AK34">
            <v>1.1512307087527991E-3</v>
          </cell>
          <cell r="AL34">
            <v>2.4422425665589381E-3</v>
          </cell>
          <cell r="AM34">
            <v>5.3546636902114583E-3</v>
          </cell>
          <cell r="AN34">
            <v>1.1743219303285776E-2</v>
          </cell>
          <cell r="AO34">
            <v>2.4822669180798899E-2</v>
          </cell>
          <cell r="AP34">
            <v>4.7511881157999043E-2</v>
          </cell>
          <cell r="AQ34">
            <v>7.491792505404446E-2</v>
          </cell>
          <cell r="AR34">
            <v>9.5152609452330353E-2</v>
          </cell>
          <cell r="AS34">
            <v>9.9292360512225661E-2</v>
          </cell>
          <cell r="AT34">
            <v>9.1131844240316548E-2</v>
          </cell>
          <cell r="AU34">
            <v>7.6671872735849189E-2</v>
          </cell>
          <cell r="AV34">
            <v>5.979282510117629E-2</v>
          </cell>
          <cell r="AW34">
            <v>4.4668112254600829E-2</v>
          </cell>
          <cell r="AX34">
            <v>3.1849768919571524E-2</v>
          </cell>
          <cell r="AY34">
            <v>2.2705603290971359E-2</v>
          </cell>
          <cell r="AZ34">
            <v>1.6924866083420829E-2</v>
          </cell>
          <cell r="BA34">
            <v>1.3093257071269007E-2</v>
          </cell>
          <cell r="BB34">
            <v>1.0107690059089788E-2</v>
          </cell>
          <cell r="BC34">
            <v>7.874211116748327E-3</v>
          </cell>
          <cell r="BD34">
            <v>6.1119129967525578E-3</v>
          </cell>
          <cell r="BE34">
            <v>4.761648644012015E-3</v>
          </cell>
          <cell r="BF34">
            <v>3.7125514362672403E-3</v>
          </cell>
          <cell r="BG34">
            <v>2.8911251831475098E-3</v>
          </cell>
          <cell r="BH34">
            <v>2.9294818552347752E-3</v>
          </cell>
          <cell r="BI34">
            <v>2.266765541197912E-3</v>
          </cell>
          <cell r="BJ34">
            <v>1.2456229863100003E-3</v>
          </cell>
          <cell r="BK34">
            <v>6.474748575975096E-4</v>
          </cell>
          <cell r="BL34">
            <v>3.0879106096895172E-4</v>
          </cell>
          <cell r="BM34">
            <v>1.5425543397767363E-4</v>
          </cell>
          <cell r="BN34">
            <v>7.1837991175961277E-5</v>
          </cell>
          <cell r="BO34">
            <v>2.0780396312715027E-5</v>
          </cell>
          <cell r="BP34">
            <v>9.650752389800286E-6</v>
          </cell>
          <cell r="BQ34">
            <v>4.668492682994613E-6</v>
          </cell>
          <cell r="BR34">
            <v>2.1894544966491797E-6</v>
          </cell>
          <cell r="BS34">
            <v>9.9855104581344474E-7</v>
          </cell>
          <cell r="BT34">
            <v>4.4263219611798053E-7</v>
          </cell>
          <cell r="BU34">
            <v>2.0236953184732178E-7</v>
          </cell>
          <cell r="BV34">
            <v>9.0852132787622507E-8</v>
          </cell>
          <cell r="BW34">
            <v>3.8012064278530245E-8</v>
          </cell>
          <cell r="BX34">
            <v>7.604269310161116E-9</v>
          </cell>
          <cell r="BY34">
            <v>3.7070644534315809E-12</v>
          </cell>
        </row>
      </sheetData>
      <sheetData sheetId="1">
        <row r="2">
          <cell r="B2">
            <v>4.4613193669027306E-7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7.9767587560267337E-5</v>
          </cell>
          <cell r="H2">
            <v>0</v>
          </cell>
          <cell r="I2">
            <v>9.7595808953800816E-4</v>
          </cell>
          <cell r="J2">
            <v>0</v>
          </cell>
          <cell r="K2">
            <v>7.0481649124108094E-5</v>
          </cell>
          <cell r="L2">
            <v>0</v>
          </cell>
          <cell r="M2">
            <v>1.0917972411410041E-3</v>
          </cell>
          <cell r="N2">
            <v>3.3156664869178807E-3</v>
          </cell>
          <cell r="O2">
            <v>2.3671445449053104E-3</v>
          </cell>
          <cell r="P2">
            <v>8.1190813066553905E-3</v>
          </cell>
          <cell r="Q2">
            <v>1.4358999234131932E-2</v>
          </cell>
          <cell r="R2">
            <v>1.6613872103344535E-4</v>
          </cell>
          <cell r="S2">
            <v>2.9631758385239202E-3</v>
          </cell>
          <cell r="T2">
            <v>8.4771491180293465E-3</v>
          </cell>
          <cell r="U2">
            <v>7.5157032447380912E-3</v>
          </cell>
          <cell r="V2">
            <v>9.3847313577892257E-3</v>
          </cell>
          <cell r="W2">
            <v>1.9656843080116497E-2</v>
          </cell>
          <cell r="X2">
            <v>2.3509791597443916E-2</v>
          </cell>
          <cell r="Y2">
            <v>4.4687394866099274E-2</v>
          </cell>
          <cell r="Z2">
            <v>1.764443278949095E-2</v>
          </cell>
          <cell r="AA2">
            <v>4.8673746524178232E-2</v>
          </cell>
          <cell r="AB2">
            <v>4.1767189138208843E-2</v>
          </cell>
          <cell r="AC2">
            <v>5.8003528187235386E-2</v>
          </cell>
          <cell r="AD2">
            <v>5.6142142315784141E-2</v>
          </cell>
          <cell r="AE2">
            <v>6.4106697872253468E-2</v>
          </cell>
          <cell r="AF2">
            <v>6.2102970832314551E-2</v>
          </cell>
          <cell r="AG2">
            <v>7.2262103442626707E-2</v>
          </cell>
          <cell r="AH2">
            <v>5.9463873953057272E-2</v>
          </cell>
          <cell r="AI2">
            <v>4.8655935961295922E-2</v>
          </cell>
          <cell r="AJ2">
            <v>5.9206591165271723E-2</v>
          </cell>
          <cell r="AK2">
            <v>7.2939289024725629E-2</v>
          </cell>
          <cell r="AL2">
            <v>5.9497313385634285E-2</v>
          </cell>
          <cell r="AM2">
            <v>4.4625319690602468E-2</v>
          </cell>
          <cell r="AN2">
            <v>4.8481315290265614E-2</v>
          </cell>
          <cell r="AO2">
            <v>1.6185181125647798E-2</v>
          </cell>
          <cell r="AP2">
            <v>1.18428371086442E-2</v>
          </cell>
          <cell r="AQ2">
            <v>7.0510398265658403E-3</v>
          </cell>
          <cell r="AR2">
            <v>2.0767631447670648E-3</v>
          </cell>
          <cell r="AS2">
            <v>1.3197656472409382E-3</v>
          </cell>
          <cell r="AT2">
            <v>5.4346950118746413E-4</v>
          </cell>
          <cell r="AU2">
            <v>3.9310794047313271E-4</v>
          </cell>
          <cell r="AV2">
            <v>9.5511941054893191E-5</v>
          </cell>
          <cell r="AW2">
            <v>8.6245825756933384E-5</v>
          </cell>
          <cell r="AX2">
            <v>3.5436947492028206E-5</v>
          </cell>
          <cell r="AY2">
            <v>2.592175399307532E-5</v>
          </cell>
          <cell r="AZ2">
            <v>1.4545708794886698E-5</v>
          </cell>
          <cell r="BA2">
            <v>7.3785627416524392E-6</v>
          </cell>
          <cell r="BB2">
            <v>3.1170733031450857E-6</v>
          </cell>
          <cell r="BC2">
            <v>3.0255095159121033E-6</v>
          </cell>
          <cell r="BD2">
            <v>1.5246075630079778E-6</v>
          </cell>
          <cell r="BE2">
            <v>1.0029614026561457E-6</v>
          </cell>
          <cell r="BF2">
            <v>6.1884797018885876E-7</v>
          </cell>
          <cell r="BG2">
            <v>2.9270395339647284E-7</v>
          </cell>
          <cell r="BH2">
            <v>2.4983996275403396E-7</v>
          </cell>
          <cell r="BI2">
            <v>1.7497033399809797E-7</v>
          </cell>
          <cell r="BJ2">
            <v>4.171791009408234E-8</v>
          </cell>
          <cell r="BK2">
            <v>1.8155428762295272E-8</v>
          </cell>
          <cell r="BL2">
            <v>6.2957972477479558E-9</v>
          </cell>
          <cell r="BM2">
            <v>1.5430183886482948E-9</v>
          </cell>
          <cell r="BN2">
            <v>8.3596523280215012E-10</v>
          </cell>
          <cell r="BO2">
            <v>1.2657093655150942E-10</v>
          </cell>
          <cell r="BP2">
            <v>7.6446121003001265E-11</v>
          </cell>
          <cell r="BQ2">
            <v>1.4802841881147878E-11</v>
          </cell>
          <cell r="BR2">
            <v>1.1686714459559024E-11</v>
          </cell>
          <cell r="BS2">
            <v>3.3728920518684299E-12</v>
          </cell>
          <cell r="BT2">
            <v>1.3611651211126859E-12</v>
          </cell>
          <cell r="BU2">
            <v>4.8691667617720171E-13</v>
          </cell>
          <cell r="BV2">
            <v>1.1162740534261453E-13</v>
          </cell>
          <cell r="BW2">
            <v>4.604456952275687E-14</v>
          </cell>
          <cell r="BX2">
            <v>9.7406690844102274E-16</v>
          </cell>
          <cell r="BY2">
            <v>2.7009046820880117E-17</v>
          </cell>
        </row>
        <row r="3">
          <cell r="B3">
            <v>1.2772949285639467E-3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3.9464383544854859E-5</v>
          </cell>
          <cell r="H3">
            <v>0</v>
          </cell>
          <cell r="I3">
            <v>4.0229733507504088E-4</v>
          </cell>
          <cell r="J3">
            <v>0</v>
          </cell>
          <cell r="K3">
            <v>2.8052076274910448E-5</v>
          </cell>
          <cell r="L3">
            <v>0</v>
          </cell>
          <cell r="M3">
            <v>3.9877128307179037E-4</v>
          </cell>
          <cell r="N3">
            <v>1.1253635270177533E-3</v>
          </cell>
          <cell r="O3">
            <v>7.8612160775531111E-4</v>
          </cell>
          <cell r="P3">
            <v>2.5867852102485255E-3</v>
          </cell>
          <cell r="Q3">
            <v>4.5138447692950967E-3</v>
          </cell>
          <cell r="R3">
            <v>5.1684627365091756E-5</v>
          </cell>
          <cell r="S3">
            <v>9.2581431763653769E-4</v>
          </cell>
          <cell r="T3">
            <v>2.6647597470510283E-3</v>
          </cell>
          <cell r="U3">
            <v>2.3862934544155992E-3</v>
          </cell>
          <cell r="V3">
            <v>3.0285499802794724E-3</v>
          </cell>
          <cell r="W3">
            <v>6.4925657308499444E-3</v>
          </cell>
          <cell r="X3">
            <v>8.0028353175275579E-3</v>
          </cell>
          <cell r="Y3">
            <v>1.5804663211020191E-2</v>
          </cell>
          <cell r="Z3">
            <v>6.5324693408763098E-3</v>
          </cell>
          <cell r="AA3">
            <v>1.9041600259944415E-2</v>
          </cell>
          <cell r="AB3">
            <v>1.749956906555894E-2</v>
          </cell>
          <cell r="AC3">
            <v>2.6458038448519385E-2</v>
          </cell>
          <cell r="AD3">
            <v>2.8226086784303932E-2</v>
          </cell>
          <cell r="AE3">
            <v>3.5975186751651185E-2</v>
          </cell>
          <cell r="AF3">
            <v>3.9313323570530377E-2</v>
          </cell>
          <cell r="AG3">
            <v>5.204821651118028E-2</v>
          </cell>
          <cell r="AH3">
            <v>4.9206789591987189E-2</v>
          </cell>
          <cell r="AI3">
            <v>4.6970346667639745E-2</v>
          </cell>
          <cell r="AJ3">
            <v>6.731210731162765E-2</v>
          </cell>
          <cell r="AK3">
            <v>9.8780471714201817E-2</v>
          </cell>
          <cell r="AL3">
            <v>9.6744021140641859E-2</v>
          </cell>
          <cell r="AM3">
            <v>8.7677119790522923E-2</v>
          </cell>
          <cell r="AN3">
            <v>0.1157443162227285</v>
          </cell>
          <cell r="AO3">
            <v>4.7492260508349232E-2</v>
          </cell>
          <cell r="AP3">
            <v>4.3137613564483479E-2</v>
          </cell>
          <cell r="AQ3">
            <v>3.1895009433600782E-2</v>
          </cell>
          <cell r="AR3">
            <v>1.1827066452080473E-2</v>
          </cell>
          <cell r="AS3">
            <v>9.4970805828362131E-3</v>
          </cell>
          <cell r="AT3">
            <v>4.9629141176276417E-3</v>
          </cell>
          <cell r="AU3">
            <v>4.5957791037986064E-3</v>
          </cell>
          <cell r="AV3">
            <v>1.4399738738504939E-3</v>
          </cell>
          <cell r="AW3">
            <v>1.6848594289457942E-3</v>
          </cell>
          <cell r="AX3">
            <v>9.0443600763619311E-4</v>
          </cell>
          <cell r="AY3">
            <v>8.7843796345486713E-4</v>
          </cell>
          <cell r="AZ3">
            <v>6.5294791450313204E-4</v>
          </cell>
          <cell r="BA3">
            <v>4.4425196978755609E-4</v>
          </cell>
          <cell r="BB3">
            <v>2.5290598001889106E-4</v>
          </cell>
          <cell r="BC3">
            <v>3.334097707474201E-4</v>
          </cell>
          <cell r="BD3">
            <v>2.3099846024366862E-4</v>
          </cell>
          <cell r="BE3">
            <v>2.1043571353232597E-4</v>
          </cell>
          <cell r="BF3">
            <v>1.8062974849899393E-4</v>
          </cell>
          <cell r="BG3">
            <v>1.2018397515756024E-4</v>
          </cell>
          <cell r="BH3">
            <v>1.5845748694228855E-4</v>
          </cell>
          <cell r="BI3">
            <v>2.1111696851002412E-4</v>
          </cell>
          <cell r="BJ3">
            <v>1.0882352064802999E-4</v>
          </cell>
          <cell r="BK3">
            <v>1.0555288955567186E-4</v>
          </cell>
          <cell r="BL3">
            <v>8.5408674143334966E-5</v>
          </cell>
          <cell r="BM3">
            <v>5.0863369774857629E-5</v>
          </cell>
          <cell r="BN3">
            <v>6.9187078411657226E-5</v>
          </cell>
          <cell r="BO3">
            <v>2.7368513694600992E-5</v>
          </cell>
          <cell r="BP3">
            <v>4.4094185381266742E-5</v>
          </cell>
          <cell r="BQ3">
            <v>2.3384102962522987E-5</v>
          </cell>
          <cell r="BR3">
            <v>5.0669797685542774E-5</v>
          </cell>
          <cell r="BS3">
            <v>4.0581819311473073E-5</v>
          </cell>
          <cell r="BT3">
            <v>4.777659605451061E-5</v>
          </cell>
          <cell r="BU3">
            <v>5.2272212626416193E-5</v>
          </cell>
          <cell r="BV3">
            <v>3.6116004528639119E-5</v>
          </cell>
          <cell r="BW3">
            <v>6.8660593166613954E-5</v>
          </cell>
          <cell r="BX3">
            <v>1.8742069471075097E-5</v>
          </cell>
          <cell r="BY3">
            <v>1.4904869070945732E-5</v>
          </cell>
        </row>
        <row r="4">
          <cell r="B4">
            <v>6.3347591451515858E-4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2.3109424828476178E-5</v>
          </cell>
          <cell r="H4">
            <v>0</v>
          </cell>
          <cell r="I4">
            <v>2.1725478316874495E-4</v>
          </cell>
          <cell r="J4">
            <v>0</v>
          </cell>
          <cell r="K4">
            <v>1.4697002145220028E-5</v>
          </cell>
          <cell r="L4">
            <v>0</v>
          </cell>
          <cell r="M4">
            <v>2.0294571968675811E-4</v>
          </cell>
          <cell r="N4">
            <v>5.4882193619763028E-4</v>
          </cell>
          <cell r="O4">
            <v>3.7568972872894352E-4</v>
          </cell>
          <cell r="P4">
            <v>1.180754282526484E-3</v>
          </cell>
          <cell r="Q4">
            <v>2.023611320444521E-3</v>
          </cell>
          <cell r="R4">
            <v>2.3134829594773695E-5</v>
          </cell>
          <cell r="S4">
            <v>4.1108383224700896E-4</v>
          </cell>
          <cell r="T4">
            <v>1.1653033173584693E-3</v>
          </cell>
          <cell r="U4">
            <v>1.0254042232419075E-3</v>
          </cell>
          <cell r="V4">
            <v>1.2800392215858451E-3</v>
          </cell>
          <cell r="W4">
            <v>2.7041440029494696E-3</v>
          </cell>
          <cell r="X4">
            <v>3.2937107458550405E-3</v>
          </cell>
          <cell r="Y4">
            <v>6.4530599367823597E-3</v>
          </cell>
          <cell r="Z4">
            <v>2.6596692969059091E-3</v>
          </cell>
          <cell r="AA4">
            <v>7.7831686389699959E-3</v>
          </cell>
          <cell r="AB4">
            <v>7.2512979801121983E-3</v>
          </cell>
          <cell r="AC4">
            <v>1.1263546953842388E-2</v>
          </cell>
          <cell r="AD4">
            <v>1.2510779719808469E-2</v>
          </cell>
          <cell r="AE4">
            <v>1.6845335161051571E-2</v>
          </cell>
          <cell r="AF4">
            <v>1.9727520190142001E-2</v>
          </cell>
          <cell r="AG4">
            <v>2.8354876194970326E-2</v>
          </cell>
          <cell r="AH4">
            <v>2.9474679004483941E-2</v>
          </cell>
          <cell r="AI4">
            <v>3.1465258161613184E-2</v>
          </cell>
          <cell r="AJ4">
            <v>5.1015234752680751E-2</v>
          </cell>
          <cell r="AK4">
            <v>8.5796085888372509E-2</v>
          </cell>
          <cell r="AL4">
            <v>9.6968659125934831E-2</v>
          </cell>
          <cell r="AM4">
            <v>0.10219081752137531</v>
          </cell>
          <cell r="AN4">
            <v>0.15731711910457535</v>
          </cell>
          <cell r="AO4">
            <v>7.5690858259764654E-2</v>
          </cell>
          <cell r="AP4">
            <v>8.0545289813431342E-2</v>
          </cell>
          <cell r="AQ4">
            <v>6.8703831931054185E-2</v>
          </cell>
          <cell r="AR4">
            <v>2.891476369007023E-2</v>
          </cell>
          <cell r="AS4">
            <v>2.5361301450459298E-2</v>
          </cell>
          <cell r="AT4">
            <v>1.3726178890925247E-2</v>
          </cell>
          <cell r="AU4">
            <v>1.2306647432942026E-2</v>
          </cell>
          <cell r="AV4">
            <v>3.4733073453325474E-3</v>
          </cell>
          <cell r="AW4">
            <v>3.4696095103292691E-3</v>
          </cell>
          <cell r="AX4">
            <v>1.5343110960963258E-3</v>
          </cell>
          <cell r="AY4">
            <v>1.20504974042779E-3</v>
          </cell>
          <cell r="AZ4">
            <v>7.4151743326229499E-4</v>
          </cell>
          <cell r="BA4">
            <v>4.2613644547459805E-4</v>
          </cell>
          <cell r="BB4">
            <v>2.121344371112117E-4</v>
          </cell>
          <cell r="BC4">
            <v>2.5244466445388552E-4</v>
          </cell>
          <cell r="BD4">
            <v>1.6224039407068376E-4</v>
          </cell>
          <cell r="BE4">
            <v>1.4038398765180889E-4</v>
          </cell>
          <cell r="BF4">
            <v>1.1652585610266363E-4</v>
          </cell>
          <cell r="BG4">
            <v>7.5839590285335629E-5</v>
          </cell>
          <cell r="BH4">
            <v>9.8353531256422383E-5</v>
          </cell>
          <cell r="BI4">
            <v>1.2947882274557478E-4</v>
          </cell>
          <cell r="BJ4">
            <v>6.6367122533667264E-5</v>
          </cell>
          <cell r="BK4">
            <v>6.4237053497011822E-5</v>
          </cell>
          <cell r="BL4">
            <v>5.1933787618086276E-5</v>
          </cell>
          <cell r="BM4">
            <v>3.0917267005476521E-5</v>
          </cell>
          <cell r="BN4">
            <v>4.2048900440461994E-5</v>
          </cell>
          <cell r="BO4">
            <v>1.6632203282938506E-5</v>
          </cell>
          <cell r="BP4">
            <v>2.6795730398988992E-5</v>
          </cell>
          <cell r="BQ4">
            <v>1.4210136730814487E-5</v>
          </cell>
          <cell r="BR4">
            <v>3.0790990675468155E-5</v>
          </cell>
          <cell r="BS4">
            <v>2.4660654016938321E-5</v>
          </cell>
          <cell r="BT4">
            <v>2.9032712278653213E-5</v>
          </cell>
          <cell r="BU4">
            <v>3.1764570523514671E-5</v>
          </cell>
          <cell r="BV4">
            <v>2.1946823987881273E-5</v>
          </cell>
          <cell r="BW4">
            <v>4.1723378892849455E-5</v>
          </cell>
          <cell r="BX4">
            <v>1.1389100915581256E-5</v>
          </cell>
          <cell r="BY4">
            <v>9.0573272585277312E-6</v>
          </cell>
        </row>
        <row r="5">
          <cell r="B5">
            <v>2.1014084742985837E-4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1.7156739018365702E-5</v>
          </cell>
          <cell r="H5">
            <v>0</v>
          </cell>
          <cell r="I5">
            <v>1.5250223808776605E-4</v>
          </cell>
          <cell r="J5">
            <v>0</v>
          </cell>
          <cell r="K5">
            <v>1.0093321032604603E-5</v>
          </cell>
          <cell r="L5">
            <v>0</v>
          </cell>
          <cell r="M5">
            <v>1.3656809397072858E-4</v>
          </cell>
          <cell r="N5">
            <v>3.5784118693097983E-4</v>
          </cell>
          <cell r="O5">
            <v>2.4132549185805447E-4</v>
          </cell>
          <cell r="P5">
            <v>7.3014009360700084E-4</v>
          </cell>
          <cell r="Q5">
            <v>1.2347026380456992E-3</v>
          </cell>
          <cell r="R5">
            <v>1.4130431491905601E-5</v>
          </cell>
          <cell r="S5">
            <v>2.4879976902905741E-4</v>
          </cell>
          <cell r="T5">
            <v>6.9349869815257532E-4</v>
          </cell>
          <cell r="U5">
            <v>5.9769743143653819E-4</v>
          </cell>
          <cell r="V5">
            <v>7.2941239283251318E-4</v>
          </cell>
          <cell r="W5">
            <v>1.5033153368588462E-3</v>
          </cell>
          <cell r="X5">
            <v>1.783301001996857E-3</v>
          </cell>
          <cell r="Y5">
            <v>3.3962935975661883E-3</v>
          </cell>
          <cell r="Z5">
            <v>1.3594821020202991E-3</v>
          </cell>
          <cell r="AA5">
            <v>3.8616999251977159E-3</v>
          </cell>
          <cell r="AB5">
            <v>3.4959845425534628E-3</v>
          </cell>
          <cell r="AC5">
            <v>5.2956086514125917E-3</v>
          </cell>
          <cell r="AD5">
            <v>5.7815424340031491E-3</v>
          </cell>
          <cell r="AE5">
            <v>7.7409143133700172E-3</v>
          </cell>
          <cell r="AF5">
            <v>9.1548616929430365E-3</v>
          </cell>
          <cell r="AG5">
            <v>1.3523583774104325E-2</v>
          </cell>
          <cell r="AH5">
            <v>1.4717763556548812E-2</v>
          </cell>
          <cell r="AI5">
            <v>1.6819759761861244E-2</v>
          </cell>
          <cell r="AJ5">
            <v>2.9735140431022496E-2</v>
          </cell>
          <cell r="AK5">
            <v>5.55617677750945E-2</v>
          </cell>
          <cell r="AL5">
            <v>7.0588853280436098E-2</v>
          </cell>
          <cell r="AM5">
            <v>8.4742214349277784E-2</v>
          </cell>
          <cell r="AN5">
            <v>0.14973993230499791</v>
          </cell>
          <cell r="AO5">
            <v>8.367960392484039E-2</v>
          </cell>
          <cell r="AP5">
            <v>0.1043633114426744</v>
          </cell>
          <cell r="AQ5">
            <v>0.1042156282403677</v>
          </cell>
          <cell r="AR5">
            <v>5.1870589404889922E-2</v>
          </cell>
          <cell r="AS5">
            <v>5.3745846118308772E-2</v>
          </cell>
          <cell r="AT5">
            <v>3.423341286696277E-2</v>
          </cell>
          <cell r="AU5">
            <v>3.6040173892249762E-2</v>
          </cell>
          <cell r="AV5">
            <v>1.1832168656937956E-2</v>
          </cell>
          <cell r="AW5">
            <v>1.3478124028544647E-2</v>
          </cell>
          <cell r="AX5">
            <v>6.641094516434751E-3</v>
          </cell>
          <cell r="AY5">
            <v>5.6427705323062252E-3</v>
          </cell>
          <cell r="AZ5">
            <v>3.6033755644600558E-3</v>
          </cell>
          <cell r="BA5">
            <v>2.0607670823834042E-3</v>
          </cell>
          <cell r="BB5">
            <v>9.7915858002309308E-4</v>
          </cell>
          <cell r="BC5">
            <v>1.0704887111687655E-3</v>
          </cell>
          <cell r="BD5">
            <v>6.1099447121193667E-4</v>
          </cell>
          <cell r="BE5">
            <v>4.5872904194186177E-4</v>
          </cell>
          <cell r="BF5">
            <v>3.2683304958275203E-4</v>
          </cell>
          <cell r="BG5">
            <v>1.8101130639955131E-4</v>
          </cell>
          <cell r="BH5">
            <v>1.9233658903091894E-4</v>
          </cell>
          <cell r="BI5">
            <v>1.9294945330460318E-4</v>
          </cell>
          <cell r="BJ5">
            <v>7.5610184651988852E-5</v>
          </cell>
          <cell r="BK5">
            <v>5.9923456161680656E-5</v>
          </cell>
          <cell r="BL5">
            <v>4.216755149857999E-5</v>
          </cell>
          <cell r="BM5">
            <v>2.3042633590817955E-5</v>
          </cell>
          <cell r="BN5">
            <v>2.9847557152930682E-5</v>
          </cell>
          <cell r="BO5">
            <v>1.1488171611051593E-5</v>
          </cell>
          <cell r="BP5">
            <v>1.8249132106178757E-5</v>
          </cell>
          <cell r="BQ5">
            <v>9.607902964111695E-6</v>
          </cell>
          <cell r="BR5">
            <v>2.0745799581709205E-5</v>
          </cell>
          <cell r="BS5">
            <v>1.6586630844343018E-5</v>
          </cell>
          <cell r="BT5">
            <v>1.951011797332367E-5</v>
          </cell>
          <cell r="BU5">
            <v>2.1336964454447106E-5</v>
          </cell>
          <cell r="BV5">
            <v>1.4739510784910322E-5</v>
          </cell>
          <cell r="BW5">
            <v>2.8018773480765289E-5</v>
          </cell>
          <cell r="BX5">
            <v>7.6478920081921688E-6</v>
          </cell>
          <cell r="BY5">
            <v>6.0820429217270199E-6</v>
          </cell>
        </row>
        <row r="6">
          <cell r="B6">
            <v>1.176590956889877E-4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1.2211829672742356E-5</v>
          </cell>
          <cell r="H6">
            <v>0</v>
          </cell>
          <cell r="I6">
            <v>1.0203108821737106E-4</v>
          </cell>
          <cell r="J6">
            <v>0</v>
          </cell>
          <cell r="K6">
            <v>6.5918898342109101E-6</v>
          </cell>
          <cell r="L6">
            <v>0</v>
          </cell>
          <cell r="M6">
            <v>8.7401577194117994E-5</v>
          </cell>
          <cell r="N6">
            <v>2.2197808564929872E-4</v>
          </cell>
          <cell r="O6">
            <v>1.475676746327313E-4</v>
          </cell>
          <cell r="P6">
            <v>4.3156714136056691E-4</v>
          </cell>
          <cell r="Q6">
            <v>7.2135518931175304E-4</v>
          </cell>
          <cell r="R6">
            <v>8.2644239677173186E-6</v>
          </cell>
          <cell r="S6">
            <v>1.4438940335768707E-4</v>
          </cell>
          <cell r="T6">
            <v>3.9688270549495221E-4</v>
          </cell>
          <cell r="U6">
            <v>3.3635120872777701E-4</v>
          </cell>
          <cell r="V6">
            <v>4.0309256228629421E-4</v>
          </cell>
          <cell r="W6">
            <v>8.1445259181729028E-4</v>
          </cell>
          <cell r="X6">
            <v>9.4536689327838843E-4</v>
          </cell>
          <cell r="Y6">
            <v>1.7570574856253139E-3</v>
          </cell>
          <cell r="Z6">
            <v>6.8447517158646718E-4</v>
          </cell>
          <cell r="AA6">
            <v>1.8849301228228657E-3</v>
          </cell>
          <cell r="AB6">
            <v>1.6461740932389262E-3</v>
          </cell>
          <cell r="AC6">
            <v>2.3916907355565867E-3</v>
          </cell>
          <cell r="AD6">
            <v>2.4964334754214342E-3</v>
          </cell>
          <cell r="AE6">
            <v>3.1937859905912603E-3</v>
          </cell>
          <cell r="AF6">
            <v>3.6287010525300036E-3</v>
          </cell>
          <cell r="AG6">
            <v>5.2141460378076002E-3</v>
          </cell>
          <cell r="AH6">
            <v>5.6243987721651192E-3</v>
          </cell>
          <cell r="AI6">
            <v>6.5424060446940581E-3</v>
          </cell>
          <cell r="AJ6">
            <v>1.2117529967653832E-2</v>
          </cell>
          <cell r="AK6">
            <v>2.4457200594342261E-2</v>
          </cell>
          <cell r="AL6">
            <v>3.4294738932307389E-2</v>
          </cell>
          <cell r="AM6">
            <v>4.6488361091493589E-2</v>
          </cell>
          <cell r="AN6">
            <v>9.3932809029589795E-2</v>
          </cell>
          <cell r="AO6">
            <v>6.0956054272936058E-2</v>
          </cell>
          <cell r="AP6">
            <v>8.9254777904800922E-2</v>
          </cell>
          <cell r="AQ6">
            <v>0.10455316191745702</v>
          </cell>
          <cell r="AR6">
            <v>6.1815803279830141E-2</v>
          </cell>
          <cell r="AS6">
            <v>7.6197775979926996E-2</v>
          </cell>
          <cell r="AT6">
            <v>5.777721398555153E-2</v>
          </cell>
          <cell r="AU6">
            <v>7.2956315401883465E-2</v>
          </cell>
          <cell r="AV6">
            <v>2.8878913809200466E-2</v>
          </cell>
          <cell r="AW6">
            <v>3.954411746536346E-2</v>
          </cell>
          <cell r="AX6">
            <v>2.3504943518920705E-2</v>
          </cell>
          <cell r="AY6">
            <v>2.4349268592387997E-2</v>
          </cell>
          <cell r="AZ6">
            <v>1.8769482275283109E-2</v>
          </cell>
          <cell r="BA6">
            <v>1.3058434366057539E-2</v>
          </cell>
          <cell r="BB6">
            <v>7.5333803700281471E-3</v>
          </cell>
          <cell r="BC6">
            <v>1.0014046501071523E-2</v>
          </cell>
          <cell r="BD6">
            <v>6.9758035021731998E-3</v>
          </cell>
          <cell r="BE6">
            <v>6.3777052413820428E-3</v>
          </cell>
          <cell r="BF6">
            <v>5.4877314784145398E-3</v>
          </cell>
          <cell r="BG6">
            <v>3.6577073735013631E-3</v>
          </cell>
          <cell r="BH6">
            <v>4.8297926776379044E-3</v>
          </cell>
          <cell r="BI6">
            <v>6.4435662293964267E-3</v>
          </cell>
          <cell r="BJ6">
            <v>3.3242960212734188E-3</v>
          </cell>
          <cell r="BK6">
            <v>3.2258128123519979E-3</v>
          </cell>
          <cell r="BL6">
            <v>2.6107748896230351E-3</v>
          </cell>
          <cell r="BM6">
            <v>1.5549643272284163E-3</v>
          </cell>
          <cell r="BN6">
            <v>2.1152545344346237E-3</v>
          </cell>
          <cell r="BO6">
            <v>8.3675661552443819E-4</v>
          </cell>
          <cell r="BP6">
            <v>1.3481361390619525E-3</v>
          </cell>
          <cell r="BQ6">
            <v>7.149490215019893E-4</v>
          </cell>
          <cell r="BR6">
            <v>1.5491887281232177E-3</v>
          </cell>
          <cell r="BS6">
            <v>1.2407577668208211E-3</v>
          </cell>
          <cell r="BT6">
            <v>1.4607329767477772E-3</v>
          </cell>
          <cell r="BU6">
            <v>1.5981832296576273E-3</v>
          </cell>
          <cell r="BV6">
            <v>1.1042194805049919E-3</v>
          </cell>
          <cell r="BW6">
            <v>2.0992456692707799E-3</v>
          </cell>
          <cell r="BX6">
            <v>5.7302459259192778E-4</v>
          </cell>
          <cell r="BY6">
            <v>4.557050941604514E-4</v>
          </cell>
        </row>
        <row r="7">
          <cell r="B7">
            <v>3.7386741535141842E-6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1.4188802495543727E-7</v>
          </cell>
          <cell r="H7">
            <v>0</v>
          </cell>
          <cell r="I7">
            <v>1.7827972200957098E-6</v>
          </cell>
          <cell r="J7">
            <v>0</v>
          </cell>
          <cell r="K7">
            <v>1.3090387185702611E-7</v>
          </cell>
          <cell r="L7">
            <v>0</v>
          </cell>
          <cell r="M7">
            <v>2.0798130831191014E-6</v>
          </cell>
          <cell r="N7">
            <v>6.6770152684991536E-6</v>
          </cell>
          <cell r="O7">
            <v>4.7762977975625941E-6</v>
          </cell>
          <cell r="P7">
            <v>1.7944742686546834E-5</v>
          </cell>
          <cell r="Q7">
            <v>3.0985147798748963E-5</v>
          </cell>
          <cell r="R7">
            <v>3.4466220751558316E-7</v>
          </cell>
          <cell r="S7">
            <v>6.4389992846044995E-6</v>
          </cell>
          <cell r="T7">
            <v>1.9527469899523163E-5</v>
          </cell>
          <cell r="U7">
            <v>1.8343131772623561E-5</v>
          </cell>
          <cell r="V7">
            <v>2.4261841610960258E-5</v>
          </cell>
          <cell r="W7">
            <v>5.4023171784695289E-5</v>
          </cell>
          <cell r="X7">
            <v>6.8848487822600554E-5</v>
          </cell>
          <cell r="Y7">
            <v>1.4050745799949407E-4</v>
          </cell>
          <cell r="Z7">
            <v>5.9994993076784219E-5</v>
          </cell>
          <cell r="AA7">
            <v>1.813506660620054E-4</v>
          </cell>
          <cell r="AB7">
            <v>1.7426500379925507E-4</v>
          </cell>
          <cell r="AC7">
            <v>2.8059003544448138E-4</v>
          </cell>
          <cell r="AD7">
            <v>3.2480880923859584E-4</v>
          </cell>
          <cell r="AE7">
            <v>4.6174978066246562E-4</v>
          </cell>
          <cell r="AF7">
            <v>5.8373509593087397E-4</v>
          </cell>
          <cell r="AG7">
            <v>9.3362712107882592E-4</v>
          </cell>
          <cell r="AH7">
            <v>1.1208106125592953E-3</v>
          </cell>
          <cell r="AI7">
            <v>1.4602924211969041E-3</v>
          </cell>
          <cell r="AJ7">
            <v>3.0313297341006554E-3</v>
          </cell>
          <cell r="AK7">
            <v>6.8900184469838305E-3</v>
          </cell>
          <cell r="AL7">
            <v>1.0849454942652588E-2</v>
          </cell>
          <cell r="AM7">
            <v>1.661651823359804E-2</v>
          </cell>
          <cell r="AN7">
            <v>3.7892025833798769E-2</v>
          </cell>
          <cell r="AO7">
            <v>2.7899348619949756E-2</v>
          </cell>
          <cell r="AP7">
            <v>4.6504769646233825E-2</v>
          </cell>
          <cell r="AQ7">
            <v>6.1674332955244542E-2</v>
          </cell>
          <cell r="AR7">
            <v>4.1616432590766833E-2</v>
          </cell>
          <cell r="AS7">
            <v>5.8490410009992791E-2</v>
          </cell>
          <cell r="AT7">
            <v>5.0492445224442274E-2</v>
          </cell>
          <cell r="AU7">
            <v>7.2968654430592153E-2</v>
          </cell>
          <cell r="AV7">
            <v>3.3148237390203575E-2</v>
          </cell>
          <cell r="AW7">
            <v>5.1758095616948559E-2</v>
          </cell>
          <cell r="AX7">
            <v>3.5068858836887359E-2</v>
          </cell>
          <cell r="AY7">
            <v>4.1603039070370725E-2</v>
          </cell>
          <cell r="AZ7">
            <v>3.6273429028089353E-2</v>
          </cell>
          <cell r="BA7">
            <v>2.8601618837075227E-2</v>
          </cell>
          <cell r="BB7">
            <v>1.8586118877615545E-2</v>
          </cell>
          <cell r="BC7">
            <v>2.7726855114164457E-2</v>
          </cell>
          <cell r="BD7">
            <v>2.1611290330057611E-2</v>
          </cell>
          <cell r="BE7">
            <v>2.1953601767444899E-2</v>
          </cell>
          <cell r="BF7">
            <v>2.076073018740289E-2</v>
          </cell>
          <cell r="BG7">
            <v>1.5096504838016734E-2</v>
          </cell>
          <cell r="BH7">
            <v>2.1911572804138236E-2</v>
          </cell>
          <cell r="BI7">
            <v>3.272097010405927E-2</v>
          </cell>
          <cell r="BJ7">
            <v>1.8569333840955264E-2</v>
          </cell>
          <cell r="BK7">
            <v>1.9140207179019202E-2</v>
          </cell>
          <cell r="BL7">
            <v>1.6045340880840971E-2</v>
          </cell>
          <cell r="BM7">
            <v>9.71671314557691E-3</v>
          </cell>
          <cell r="BN7">
            <v>1.3287003896338237E-2</v>
          </cell>
          <cell r="BO7">
            <v>5.2404894891329382E-3</v>
          </cell>
          <cell r="BP7">
            <v>8.3814123023755113E-3</v>
          </cell>
          <cell r="BQ7">
            <v>4.3961616006132709E-3</v>
          </cell>
          <cell r="BR7">
            <v>9.4143827326271454E-3</v>
          </cell>
          <cell r="BS7">
            <v>7.4402451217801301E-3</v>
          </cell>
          <cell r="BT7">
            <v>8.601785988944663E-3</v>
          </cell>
          <cell r="BU7">
            <v>9.200069326116285E-3</v>
          </cell>
          <cell r="BV7">
            <v>6.2172519371550914E-3</v>
          </cell>
          <cell r="BW7">
            <v>1.1485423121623324E-2</v>
          </cell>
          <cell r="BX7">
            <v>2.9670310479525826E-3</v>
          </cell>
          <cell r="BY7">
            <v>2.1687078767817993E-3</v>
          </cell>
        </row>
        <row r="8">
          <cell r="B8">
            <v>3.0416803425283094E-6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1.1253554949536832E-7</v>
          </cell>
          <cell r="H8">
            <v>0</v>
          </cell>
          <cell r="I8">
            <v>1.4335064391078632E-6</v>
          </cell>
          <cell r="J8">
            <v>0</v>
          </cell>
          <cell r="K8">
            <v>1.0536185888802303E-7</v>
          </cell>
          <cell r="L8">
            <v>0</v>
          </cell>
          <cell r="M8">
            <v>1.6915305128199734E-6</v>
          </cell>
          <cell r="N8">
            <v>5.4824220559890968E-6</v>
          </cell>
          <cell r="O8">
            <v>3.9294310707529397E-6</v>
          </cell>
          <cell r="P8">
            <v>1.4914062311649357E-5</v>
          </cell>
          <cell r="Q8">
            <v>2.57730201465101E-5</v>
          </cell>
          <cell r="R8">
            <v>2.8654171547055121E-7</v>
          </cell>
          <cell r="S8">
            <v>5.3650713365571731E-6</v>
          </cell>
          <cell r="T8">
            <v>1.6324558909310023E-5</v>
          </cell>
          <cell r="U8">
            <v>1.5389622749053468E-5</v>
          </cell>
          <cell r="V8">
            <v>2.0425352985271839E-5</v>
          </cell>
          <cell r="W8">
            <v>4.5639207744849678E-5</v>
          </cell>
          <cell r="X8">
            <v>5.8362196279611909E-5</v>
          </cell>
          <cell r="Y8">
            <v>1.1953547918725762E-4</v>
          </cell>
          <cell r="Z8">
            <v>5.1232069816857211E-5</v>
          </cell>
          <cell r="AA8">
            <v>1.5549635578538987E-4</v>
          </cell>
          <cell r="AB8">
            <v>1.5000402468996201E-4</v>
          </cell>
          <cell r="AC8">
            <v>2.4250697707480832E-4</v>
          </cell>
          <cell r="AD8">
            <v>2.8183202053091029E-4</v>
          </cell>
          <cell r="AE8">
            <v>4.0227120579765718E-4</v>
          </cell>
          <cell r="AF8">
            <v>5.1073678167777245E-4</v>
          </cell>
          <cell r="AG8">
            <v>8.2072238115549895E-4</v>
          </cell>
          <cell r="AH8">
            <v>9.8977625937609454E-4</v>
          </cell>
          <cell r="AI8">
            <v>1.2955614042798435E-3</v>
          </cell>
          <cell r="AJ8">
            <v>2.7013356026467619E-3</v>
          </cell>
          <cell r="AK8">
            <v>6.1695055047116323E-3</v>
          </cell>
          <cell r="AL8">
            <v>9.7605156502398698E-3</v>
          </cell>
          <cell r="AM8">
            <v>1.5034096528561363E-2</v>
          </cell>
          <cell r="AN8">
            <v>3.4470728522977008E-2</v>
          </cell>
          <cell r="AO8">
            <v>2.5522725827239443E-2</v>
          </cell>
          <cell r="AP8">
            <v>4.2783497244380797E-2</v>
          </cell>
          <cell r="AQ8">
            <v>5.7026256659408185E-2</v>
          </cell>
          <cell r="AR8">
            <v>3.8699415273847147E-2</v>
          </cell>
          <cell r="AS8">
            <v>5.4704379457746817E-2</v>
          </cell>
          <cell r="AT8">
            <v>4.7498591318446533E-2</v>
          </cell>
          <cell r="AU8">
            <v>6.9107570159240336E-2</v>
          </cell>
          <cell r="AV8">
            <v>3.1629970177838695E-2</v>
          </cell>
          <cell r="AW8">
            <v>4.9708419889414615E-2</v>
          </cell>
          <cell r="AX8">
            <v>3.3894759559860058E-2</v>
          </cell>
          <cell r="AY8">
            <v>4.0486343943062553E-2</v>
          </cell>
          <cell r="AZ8">
            <v>3.5501371095881286E-2</v>
          </cell>
          <cell r="BA8">
            <v>2.8175571674971797E-2</v>
          </cell>
          <cell r="BB8">
            <v>1.8429270802242059E-2</v>
          </cell>
          <cell r="BC8">
            <v>2.7691726508721589E-2</v>
          </cell>
          <cell r="BD8">
            <v>2.1749610062531361E-2</v>
          </cell>
          <cell r="BE8">
            <v>2.2280200949170551E-2</v>
          </cell>
          <cell r="BF8">
            <v>2.1236642108253736E-2</v>
          </cell>
          <cell r="BG8">
            <v>1.5570273927922498E-2</v>
          </cell>
          <cell r="BH8">
            <v>2.2826605408588871E-2</v>
          </cell>
          <cell r="BI8">
            <v>3.4651763308217641E-2</v>
          </cell>
          <cell r="BJ8">
            <v>2.010725959762941E-2</v>
          </cell>
          <cell r="BK8">
            <v>2.118543092510778E-2</v>
          </cell>
          <cell r="BL8">
            <v>1.8172792601138285E-2</v>
          </cell>
          <cell r="BM8">
            <v>1.1246767540012078E-2</v>
          </cell>
          <cell r="BN8">
            <v>1.5680804278036753E-2</v>
          </cell>
          <cell r="BO8">
            <v>6.3134951159052677E-3</v>
          </cell>
          <cell r="BP8">
            <v>1.0294561282560781E-2</v>
          </cell>
          <cell r="BQ8">
            <v>5.5090458236229153E-3</v>
          </cell>
          <cell r="BR8">
            <v>1.2012628547208437E-2</v>
          </cell>
          <cell r="BS8">
            <v>9.6686715617241951E-3</v>
          </cell>
          <cell r="BT8">
            <v>1.1436684158070696E-2</v>
          </cell>
          <cell r="BU8">
            <v>1.2560958089882415E-2</v>
          </cell>
          <cell r="BV8">
            <v>8.696527536666809E-3</v>
          </cell>
          <cell r="BW8">
            <v>1.6543037692571629E-2</v>
          </cell>
          <cell r="BX8">
            <v>4.4987987980130376E-3</v>
          </cell>
          <cell r="BY8">
            <v>3.5234382243464948E-3</v>
          </cell>
        </row>
        <row r="9">
          <cell r="B9">
            <v>2.5129103402008026E-6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9.0885460059540153E-8</v>
          </cell>
          <cell r="H9">
            <v>0</v>
          </cell>
          <cell r="I9">
            <v>1.1718843936285268E-6</v>
          </cell>
          <cell r="J9">
            <v>0</v>
          </cell>
          <cell r="K9">
            <v>8.6220041820410308E-8</v>
          </cell>
          <cell r="L9">
            <v>0</v>
          </cell>
          <cell r="M9">
            <v>1.3968529357243031E-6</v>
          </cell>
          <cell r="N9">
            <v>4.5655751608367894E-6</v>
          </cell>
          <cell r="O9">
            <v>3.2779661443446118E-6</v>
          </cell>
          <cell r="P9">
            <v>1.255397918744197E-5</v>
          </cell>
          <cell r="Q9">
            <v>2.1709206838586909E-5</v>
          </cell>
          <cell r="R9">
            <v>2.4123707733044083E-7</v>
          </cell>
          <cell r="S9">
            <v>4.5258868757422025E-6</v>
          </cell>
          <cell r="T9">
            <v>1.3812148819431058E-5</v>
          </cell>
          <cell r="U9">
            <v>1.3062873691168923E-5</v>
          </cell>
          <cell r="V9">
            <v>1.7390329313251399E-5</v>
          </cell>
          <cell r="W9">
            <v>3.8977891727497083E-5</v>
          </cell>
          <cell r="X9">
            <v>4.9994311750597853E-5</v>
          </cell>
          <cell r="Y9">
            <v>1.0272148442148838E-4</v>
          </cell>
          <cell r="Z9">
            <v>4.4170962536061982E-5</v>
          </cell>
          <cell r="AA9">
            <v>1.3454487839994906E-4</v>
          </cell>
          <cell r="AB9">
            <v>1.302369913285207E-4</v>
          </cell>
          <cell r="AC9">
            <v>2.1130229743190191E-4</v>
          </cell>
          <cell r="AD9">
            <v>2.4642112574295156E-4</v>
          </cell>
          <cell r="AE9">
            <v>3.529779435914299E-4</v>
          </cell>
          <cell r="AF9">
            <v>4.4984947192217375E-4</v>
          </cell>
          <cell r="AG9">
            <v>7.2585739575877753E-4</v>
          </cell>
          <cell r="AH9">
            <v>8.7887146817169231E-4</v>
          </cell>
          <cell r="AI9">
            <v>1.1550814096534369E-3</v>
          </cell>
          <cell r="AJ9">
            <v>2.4178338112505263E-3</v>
          </cell>
          <cell r="AK9">
            <v>5.5453376044199282E-3</v>
          </cell>
          <cell r="AL9">
            <v>8.8090367520770301E-3</v>
          </cell>
          <cell r="AM9">
            <v>1.3636016992015589E-2</v>
          </cell>
          <cell r="AN9">
            <v>3.1413931526315053E-2</v>
          </cell>
          <cell r="AO9">
            <v>2.3373329208730576E-2</v>
          </cell>
          <cell r="AP9">
            <v>3.9373769311225923E-2</v>
          </cell>
          <cell r="AQ9">
            <v>5.2713503973902932E-2</v>
          </cell>
          <cell r="AR9">
            <v>3.595085825225329E-2</v>
          </cell>
          <cell r="AS9">
            <v>5.1074879880746597E-2</v>
          </cell>
          <cell r="AT9">
            <v>4.4571704655897618E-2</v>
          </cell>
          <cell r="AU9">
            <v>6.5231163829988725E-2</v>
          </cell>
          <cell r="AV9">
            <v>3.0050197854517798E-2</v>
          </cell>
          <cell r="AW9">
            <v>4.7492363554258954E-2</v>
          </cell>
          <cell r="AX9">
            <v>3.2563342782861618E-2</v>
          </cell>
          <cell r="AY9">
            <v>3.9128746879660233E-2</v>
          </cell>
          <cell r="AZ9">
            <v>3.448186122842789E-2</v>
          </cell>
          <cell r="BA9">
            <v>2.7522063220509901E-2</v>
          </cell>
          <cell r="BB9">
            <v>1.8104482696356807E-2</v>
          </cell>
          <cell r="BC9">
            <v>2.7374449243863522E-2</v>
          </cell>
          <cell r="BD9">
            <v>2.1643753821338024E-2</v>
          </cell>
          <cell r="BE9">
            <v>2.2333425931455229E-2</v>
          </cell>
          <cell r="BF9">
            <v>2.1433520538529646E-2</v>
          </cell>
          <cell r="BG9">
            <v>1.5827108494905914E-2</v>
          </cell>
          <cell r="BH9">
            <v>2.3405244472367873E-2</v>
          </cell>
          <cell r="BI9">
            <v>3.6038014802194887E-2</v>
          </cell>
          <cell r="BJ9">
            <v>2.131606769648519E-2</v>
          </cell>
          <cell r="BK9">
            <v>2.2887402256251695E-2</v>
          </cell>
          <cell r="BL9">
            <v>2.0024948112143247E-2</v>
          </cell>
          <cell r="BM9">
            <v>1.2627051594175528E-2</v>
          </cell>
          <cell r="BN9">
            <v>1.7902473998583621E-2</v>
          </cell>
          <cell r="BO9">
            <v>7.3373333434452121E-3</v>
          </cell>
          <cell r="BP9">
            <v>1.2165264064467381E-2</v>
          </cell>
          <cell r="BQ9">
            <v>6.6238682177976772E-3</v>
          </cell>
          <cell r="BR9">
            <v>1.4670854102221497E-2</v>
          </cell>
          <cell r="BS9">
            <v>1.1996178579700053E-2</v>
          </cell>
          <cell r="BT9">
            <v>1.4471634149555121E-2</v>
          </cell>
          <cell r="BU9">
            <v>1.6260469442694644E-2</v>
          </cell>
          <cell r="BV9">
            <v>1.1494566070024003E-2</v>
          </cell>
          <cell r="BW9">
            <v>2.2424367739232703E-2</v>
          </cell>
          <cell r="BX9">
            <v>6.3734597814731507E-3</v>
          </cell>
          <cell r="BY9">
            <v>5.2967139429606824E-3</v>
          </cell>
        </row>
        <row r="10">
          <cell r="B10">
            <v>2.1028841547232223E-6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7.4527213322468191E-8</v>
          </cell>
          <cell r="H10">
            <v>0</v>
          </cell>
          <cell r="I10">
            <v>9.7143907325850672E-7</v>
          </cell>
          <cell r="J10">
            <v>0</v>
          </cell>
          <cell r="K10">
            <v>7.1541112543454223E-8</v>
          </cell>
          <cell r="L10">
            <v>0</v>
          </cell>
          <cell r="M10">
            <v>1.1683878655201382E-6</v>
          </cell>
          <cell r="N10">
            <v>3.8475188670627431E-6</v>
          </cell>
          <cell r="O10">
            <v>2.7666837032702336E-6</v>
          </cell>
          <cell r="P10">
            <v>1.0681117084827143E-5</v>
          </cell>
          <cell r="Q10">
            <v>1.8481265882935848E-5</v>
          </cell>
          <cell r="R10">
            <v>2.0526772984526903E-7</v>
          </cell>
          <cell r="S10">
            <v>3.8580250664820221E-6</v>
          </cell>
          <cell r="T10">
            <v>1.1805384905615164E-5</v>
          </cell>
          <cell r="U10">
            <v>1.1196961893993611E-5</v>
          </cell>
          <cell r="V10">
            <v>1.4946987546530837E-5</v>
          </cell>
          <cell r="W10">
            <v>3.3593841348385975E-5</v>
          </cell>
          <cell r="X10">
            <v>4.3204187528053655E-5</v>
          </cell>
          <cell r="Y10">
            <v>8.9019993852904416E-5</v>
          </cell>
          <cell r="Z10">
            <v>3.839106897784002E-5</v>
          </cell>
          <cell r="AA10">
            <v>1.1730933639244435E-4</v>
          </cell>
          <cell r="AB10">
            <v>1.1389747093546835E-4</v>
          </cell>
          <cell r="AC10">
            <v>1.8537745664690093E-4</v>
          </cell>
          <cell r="AD10">
            <v>2.1685431151067836E-4</v>
          </cell>
          <cell r="AE10">
            <v>3.1160476946031067E-4</v>
          </cell>
          <cell r="AF10">
            <v>3.984528818464865E-4</v>
          </cell>
          <cell r="AG10">
            <v>6.4526430261562895E-4</v>
          </cell>
          <cell r="AH10">
            <v>7.8404799795240676E-4</v>
          </cell>
          <cell r="AI10">
            <v>1.0341706201339475E-3</v>
          </cell>
          <cell r="AJ10">
            <v>2.1722251824349455E-3</v>
          </cell>
          <cell r="AK10">
            <v>5.000632123318579E-3</v>
          </cell>
          <cell r="AL10">
            <v>7.9724974605991424E-3</v>
          </cell>
          <cell r="AM10">
            <v>1.2395155247170766E-2</v>
          </cell>
          <cell r="AN10">
            <v>2.8674991670402765E-2</v>
          </cell>
          <cell r="AO10">
            <v>2.142754106057641E-2</v>
          </cell>
          <cell r="AP10">
            <v>3.6252989425112542E-2</v>
          </cell>
          <cell r="AQ10">
            <v>4.8724715920715402E-2</v>
          </cell>
          <cell r="AR10">
            <v>3.3376410553079175E-2</v>
          </cell>
          <cell r="AS10">
            <v>4.7627653821146129E-2</v>
          </cell>
          <cell r="AT10">
            <v>4.1748606905219247E-2</v>
          </cell>
          <cell r="AU10">
            <v>6.1415856162747792E-2</v>
          </cell>
          <cell r="AV10">
            <v>2.8454336542648433E-2</v>
          </cell>
          <cell r="AW10">
            <v>4.5193297121897506E-2</v>
          </cell>
          <cell r="AX10">
            <v>3.1138127572578646E-2</v>
          </cell>
          <cell r="AY10">
            <v>3.7613111454962163E-2</v>
          </cell>
          <cell r="AZ10">
            <v>3.3291550528063575E-2</v>
          </cell>
          <cell r="BA10">
            <v>2.6704884168059519E-2</v>
          </cell>
          <cell r="BB10">
            <v>1.7654961505674961E-2</v>
          </cell>
          <cell r="BC10">
            <v>2.6841779418710104E-2</v>
          </cell>
          <cell r="BD10">
            <v>2.134677243867035E-2</v>
          </cell>
          <cell r="BE10">
            <v>2.2167698985623638E-2</v>
          </cell>
          <cell r="BF10">
            <v>2.1402440385090735E-2</v>
          </cell>
          <cell r="BG10">
            <v>1.5903249191638484E-2</v>
          </cell>
          <cell r="BH10">
            <v>2.3697257770996322E-2</v>
          </cell>
          <cell r="BI10">
            <v>3.6943664363358976E-2</v>
          </cell>
          <cell r="BJ10">
            <v>2.2220435061561079E-2</v>
          </cell>
          <cell r="BK10">
            <v>2.4255184134009036E-2</v>
          </cell>
          <cell r="BL10">
            <v>2.1591252172547933E-2</v>
          </cell>
          <cell r="BM10">
            <v>1.3838897841873751E-2</v>
          </cell>
          <cell r="BN10">
            <v>1.9909680244941275E-2</v>
          </cell>
          <cell r="BO10">
            <v>8.2877786270959229E-3</v>
          </cell>
          <cell r="BP10">
            <v>1.3943002371097047E-2</v>
          </cell>
          <cell r="BQ10">
            <v>7.7076881442520034E-3</v>
          </cell>
          <cell r="BR10">
            <v>1.7306313773946928E-2</v>
          </cell>
          <cell r="BS10">
            <v>1.4348185488154168E-2</v>
          </cell>
          <cell r="BT10">
            <v>1.7608906673478187E-2</v>
          </cell>
          <cell r="BU10">
            <v>2.0183069993668472E-2</v>
          </cell>
          <cell r="BV10">
            <v>1.4529334081819509E-2</v>
          </cell>
          <cell r="BW10">
            <v>2.897821371270393E-2</v>
          </cell>
          <cell r="BX10">
            <v>8.5610484815018331E-3</v>
          </cell>
          <cell r="BY10">
            <v>7.4952359855512728E-3</v>
          </cell>
        </row>
        <row r="11">
          <cell r="B11">
            <v>1.798991566886673E-6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6.2683598056479169E-8</v>
          </cell>
          <cell r="H11">
            <v>0</v>
          </cell>
          <cell r="I11">
            <v>8.2448505738248642E-7</v>
          </cell>
          <cell r="J11">
            <v>0</v>
          </cell>
          <cell r="K11">
            <v>6.0770166471528472E-8</v>
          </cell>
          <cell r="L11">
            <v>0</v>
          </cell>
          <cell r="M11">
            <v>9.9909659683386141E-7</v>
          </cell>
          <cell r="N11">
            <v>3.3105929726297927E-6</v>
          </cell>
          <cell r="O11">
            <v>2.3836534127657666E-6</v>
          </cell>
          <cell r="P11">
            <v>9.2640298705726526E-6</v>
          </cell>
          <cell r="Q11">
            <v>1.6036831017143002E-5</v>
          </cell>
          <cell r="R11">
            <v>1.7804132859445775E-7</v>
          </cell>
          <cell r="S11">
            <v>3.3514001994482691E-6</v>
          </cell>
          <cell r="T11">
            <v>1.0278100039831862E-5</v>
          </cell>
          <cell r="U11">
            <v>9.7717551818839747E-6</v>
          </cell>
          <cell r="V11">
            <v>1.3074226971500133E-5</v>
          </cell>
          <cell r="W11">
            <v>2.9452341942040484E-5</v>
          </cell>
          <cell r="X11">
            <v>3.7962616450495793E-5</v>
          </cell>
          <cell r="Y11">
            <v>7.840321367777235E-5</v>
          </cell>
          <cell r="Z11">
            <v>3.3894460570197951E-5</v>
          </cell>
          <cell r="AA11">
            <v>1.0384092935724549E-4</v>
          </cell>
          <cell r="AB11">
            <v>1.0107446301418487E-4</v>
          </cell>
          <cell r="AC11">
            <v>1.6494006419538927E-4</v>
          </cell>
          <cell r="AD11">
            <v>1.9344183755501653E-4</v>
          </cell>
          <cell r="AE11">
            <v>2.7869126203832931E-4</v>
          </cell>
          <cell r="AF11">
            <v>3.5735822762614179E-4</v>
          </cell>
          <cell r="AG11">
            <v>5.804592781753331E-4</v>
          </cell>
          <cell r="AH11">
            <v>7.0736979323841257E-4</v>
          </cell>
          <cell r="AI11">
            <v>9.3582349490541126E-4</v>
          </cell>
          <cell r="AJ11">
            <v>1.971300380683075E-3</v>
          </cell>
          <cell r="AK11">
            <v>4.5521659074447074E-3</v>
          </cell>
          <cell r="AL11">
            <v>7.2792883299680061E-3</v>
          </cell>
          <cell r="AM11">
            <v>1.1358451447528112E-2</v>
          </cell>
          <cell r="AN11">
            <v>2.6367904984747267E-2</v>
          </cell>
          <cell r="AO11">
            <v>1.9774075297056048E-2</v>
          </cell>
          <cell r="AP11">
            <v>3.3576239035699638E-2</v>
          </cell>
          <cell r="AQ11">
            <v>4.5273200504331E-2</v>
          </cell>
          <cell r="AR11">
            <v>3.1125138027556981E-2</v>
          </cell>
          <cell r="AS11">
            <v>4.4578490405626392E-2</v>
          </cell>
          <cell r="AT11">
            <v>3.922016662347165E-2</v>
          </cell>
          <cell r="AU11">
            <v>5.794363114813976E-2</v>
          </cell>
          <cell r="AV11">
            <v>2.6972622517368195E-2</v>
          </cell>
          <cell r="AW11">
            <v>4.3015984613995396E-2</v>
          </cell>
          <cell r="AX11">
            <v>2.9757862354545334E-2</v>
          </cell>
          <cell r="AY11">
            <v>3.6102847664944079E-2</v>
          </cell>
          <cell r="AZ11">
            <v>3.2071198334370402E-2</v>
          </cell>
          <cell r="BA11">
            <v>2.5832797200927647E-2</v>
          </cell>
          <cell r="BB11">
            <v>1.7149449428339653E-2</v>
          </cell>
          <cell r="BC11">
            <v>2.6192280081297002E-2</v>
          </cell>
          <cell r="BD11">
            <v>2.0931358315375015E-2</v>
          </cell>
          <cell r="BE11">
            <v>2.1851374169332485E-2</v>
          </cell>
          <cell r="BF11">
            <v>2.1202240762245018E-2</v>
          </cell>
          <cell r="BG11">
            <v>1.5836397199532264E-2</v>
          </cell>
          <cell r="BH11">
            <v>2.3746982018207779E-2</v>
          </cell>
          <cell r="BI11">
            <v>3.7404654627876649E-2</v>
          </cell>
          <cell r="BJ11">
            <v>2.2811952074479822E-2</v>
          </cell>
          <cell r="BK11">
            <v>2.5243938644030958E-2</v>
          </cell>
          <cell r="BL11">
            <v>2.279605780179654E-2</v>
          </cell>
          <cell r="BM11">
            <v>1.4811053204831476E-2</v>
          </cell>
          <cell r="BN11">
            <v>2.1569740307654985E-2</v>
          </cell>
          <cell r="BO11">
            <v>9.0960821305255263E-3</v>
          </cell>
          <cell r="BP11">
            <v>1.5490779994547647E-2</v>
          </cell>
          <cell r="BQ11">
            <v>8.6726845573467382E-3</v>
          </cell>
          <cell r="BR11">
            <v>1.9697935335875681E-2</v>
          </cell>
          <cell r="BS11">
            <v>1.652206756576044E-2</v>
          </cell>
          <cell r="BT11">
            <v>2.0571715771325268E-2</v>
          </cell>
          <cell r="BU11">
            <v>2.3977156662803471E-2</v>
          </cell>
          <cell r="BV11">
            <v>1.7527650042163362E-2</v>
          </cell>
          <cell r="BW11">
            <v>3.5619127917692318E-2</v>
          </cell>
          <cell r="BX11">
            <v>1.0874805013606352E-2</v>
          </cell>
          <cell r="BY11">
            <v>9.9550449542239686E-3</v>
          </cell>
        </row>
        <row r="12">
          <cell r="B12">
            <v>2.1554139672363241E-3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2.7677218326797114E-7</v>
          </cell>
          <cell r="H12">
            <v>0</v>
          </cell>
          <cell r="I12">
            <v>4.0741537761270252E-6</v>
          </cell>
          <cell r="J12">
            <v>0</v>
          </cell>
          <cell r="K12">
            <v>3.1850741019171838E-7</v>
          </cell>
          <cell r="L12">
            <v>0</v>
          </cell>
          <cell r="M12">
            <v>5.3202151116072834E-6</v>
          </cell>
          <cell r="N12">
            <v>1.8472937788521455E-5</v>
          </cell>
          <cell r="O12">
            <v>1.3686925230478091E-5</v>
          </cell>
          <cell r="P12">
            <v>5.5848339315092006E-5</v>
          </cell>
          <cell r="Q12">
            <v>9.899969527987853E-5</v>
          </cell>
          <cell r="R12">
            <v>1.0969698783043275E-6</v>
          </cell>
          <cell r="S12">
            <v>2.0887018685307863E-5</v>
          </cell>
          <cell r="T12">
            <v>6.5451085527697752E-5</v>
          </cell>
          <cell r="U12">
            <v>6.3844186445805755E-5</v>
          </cell>
          <cell r="V12">
            <v>8.7801104779825667E-5</v>
          </cell>
          <cell r="W12">
            <v>2.0360913257851869E-4</v>
          </cell>
          <cell r="X12">
            <v>2.706903721929907E-4</v>
          </cell>
          <cell r="Y12">
            <v>5.7778109351086754E-4</v>
          </cell>
          <cell r="Z12">
            <v>2.586186680796295E-4</v>
          </cell>
          <cell r="AA12">
            <v>8.2252940031596572E-4</v>
          </cell>
          <cell r="AB12">
            <v>8.3638873642487819E-4</v>
          </cell>
          <cell r="AC12">
            <v>1.4344187109477326E-3</v>
          </cell>
          <cell r="AD12">
            <v>1.7741967386796238E-3</v>
          </cell>
          <cell r="AE12">
            <v>2.6956296067638516E-3</v>
          </cell>
          <cell r="AF12">
            <v>3.6176009049170266E-3</v>
          </cell>
          <cell r="AG12">
            <v>6.0531644374321597E-3</v>
          </cell>
          <cell r="AH12">
            <v>7.4467099238240478E-3</v>
          </cell>
          <cell r="AI12">
            <v>9.6530991856685067E-3</v>
          </cell>
          <cell r="AJ12">
            <v>1.9285231763023936E-2</v>
          </cell>
          <cell r="AK12">
            <v>4.0624805602940364E-2</v>
          </cell>
          <cell r="AL12">
            <v>5.7615032550559553E-2</v>
          </cell>
          <cell r="AM12">
            <v>7.6632305967412662E-2</v>
          </cell>
          <cell r="AN12">
            <v>0.14810035564027144</v>
          </cell>
          <cell r="AO12">
            <v>8.9535811169110496E-2</v>
          </cell>
          <cell r="AP12">
            <v>0.11914874136967646</v>
          </cell>
          <cell r="AQ12">
            <v>0.12484425678210935</v>
          </cell>
          <cell r="AR12">
            <v>6.4447648811415112E-2</v>
          </cell>
          <cell r="AS12">
            <v>6.8410926263088132E-2</v>
          </cell>
          <cell r="AT12">
            <v>4.4217547586982354E-2</v>
          </cell>
          <cell r="AU12">
            <v>4.6916815631054785E-2</v>
          </cell>
          <cell r="AV12">
            <v>1.5446457843389425E-2</v>
          </cell>
          <cell r="AW12">
            <v>1.7591089993050965E-2</v>
          </cell>
          <cell r="AX12">
            <v>8.6499994631731338E-3</v>
          </cell>
          <cell r="AY12">
            <v>7.3266900375382809E-3</v>
          </cell>
          <cell r="AZ12">
            <v>4.6638267160543029E-3</v>
          </cell>
          <cell r="BA12">
            <v>2.6584275086816568E-3</v>
          </cell>
          <cell r="BB12">
            <v>1.2593122562744872E-3</v>
          </cell>
          <cell r="BC12">
            <v>1.3729984749781946E-3</v>
          </cell>
          <cell r="BD12">
            <v>7.8173016220377397E-4</v>
          </cell>
          <cell r="BE12">
            <v>5.8568331786700901E-4</v>
          </cell>
          <cell r="BF12">
            <v>4.1656750852401224E-4</v>
          </cell>
          <cell r="BG12">
            <v>2.3037389390920197E-4</v>
          </cell>
          <cell r="BH12">
            <v>2.4443388404442144E-4</v>
          </cell>
          <cell r="BI12">
            <v>2.4483106394133827E-4</v>
          </cell>
          <cell r="BJ12">
            <v>9.5825198906866873E-5</v>
          </cell>
          <cell r="BK12">
            <v>7.5888672059740963E-5</v>
          </cell>
          <cell r="BL12">
            <v>5.3377965428920531E-5</v>
          </cell>
          <cell r="BM12">
            <v>2.9160983419691311E-5</v>
          </cell>
          <cell r="BN12">
            <v>3.7767251233736525E-5</v>
          </cell>
          <cell r="BO12">
            <v>1.4535210628015787E-5</v>
          </cell>
          <cell r="BP12">
            <v>2.3088376274472917E-5</v>
          </cell>
          <cell r="BQ12">
            <v>1.2155406792182756E-5</v>
          </cell>
          <cell r="BR12">
            <v>2.624616694090926E-5</v>
          </cell>
          <cell r="BS12">
            <v>2.0984142080418578E-5</v>
          </cell>
          <cell r="BT12">
            <v>2.4682635099868632E-5</v>
          </cell>
          <cell r="BU12">
            <v>2.6993770863421683E-5</v>
          </cell>
          <cell r="BV12">
            <v>1.8647202227001315E-5</v>
          </cell>
          <cell r="BW12">
            <v>3.544700604596153E-5</v>
          </cell>
          <cell r="BX12">
            <v>9.675470890318193E-6</v>
          </cell>
          <cell r="BY12">
            <v>7.6944898495128603E-6</v>
          </cell>
        </row>
        <row r="13">
          <cell r="B13">
            <v>3.0311390995576277E-3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5.0180321327686542E-9</v>
          </cell>
          <cell r="H13">
            <v>0</v>
          </cell>
          <cell r="I13">
            <v>1.2017649861693656E-7</v>
          </cell>
          <cell r="J13">
            <v>0</v>
          </cell>
          <cell r="K13">
            <v>1.1020585474475117E-8</v>
          </cell>
          <cell r="L13">
            <v>0</v>
          </cell>
          <cell r="M13">
            <v>2.2593650702424431E-7</v>
          </cell>
          <cell r="N13">
            <v>1.0302358651466558E-6</v>
          </cell>
          <cell r="O13">
            <v>8.3523014917621341E-7</v>
          </cell>
          <cell r="P13">
            <v>4.5513852363318831E-6</v>
          </cell>
          <cell r="Q13">
            <v>8.4315207763708789E-6</v>
          </cell>
          <cell r="R13">
            <v>9.0498903321968818E-8</v>
          </cell>
          <cell r="S13">
            <v>1.8591207240706012E-6</v>
          </cell>
          <cell r="T13">
            <v>6.5230509957468981E-6</v>
          </cell>
          <cell r="U13">
            <v>7.1678968624649934E-6</v>
          </cell>
          <cell r="V13">
            <v>1.1054369074717434E-5</v>
          </cell>
          <cell r="W13">
            <v>2.8695570429562481E-5</v>
          </cell>
          <cell r="X13">
            <v>4.252592236549767E-5</v>
          </cell>
          <cell r="Y13">
            <v>1.0114904362878379E-4</v>
          </cell>
          <cell r="Z13">
            <v>5.0322875891494747E-5</v>
          </cell>
          <cell r="AA13">
            <v>1.7803721351411614E-4</v>
          </cell>
          <cell r="AB13">
            <v>2.0187087769117025E-4</v>
          </cell>
          <cell r="AC13">
            <v>3.8872291190636025E-4</v>
          </cell>
          <cell r="AD13">
            <v>5.3973006210293432E-4</v>
          </cell>
          <cell r="AE13">
            <v>9.2116085988152999E-4</v>
          </cell>
          <cell r="AF13">
            <v>1.3874834178115528E-3</v>
          </cell>
          <cell r="AG13">
            <v>2.5993699201394605E-3</v>
          </cell>
          <cell r="AH13">
            <v>3.5709422589691666E-3</v>
          </cell>
          <cell r="AI13">
            <v>5.1828729014566938E-3</v>
          </cell>
          <cell r="AJ13">
            <v>1.1552707479799123E-2</v>
          </cell>
          <cell r="AK13">
            <v>2.7110436841338501E-2</v>
          </cell>
          <cell r="AL13">
            <v>4.249972660865152E-2</v>
          </cell>
          <cell r="AM13">
            <v>6.223189998205346E-2</v>
          </cell>
          <cell r="AN13">
            <v>0.13127541910114746</v>
          </cell>
          <cell r="AO13">
            <v>8.614490193452079E-2</v>
          </cell>
          <cell r="AP13">
            <v>0.12345034885900817</v>
          </cell>
          <cell r="AQ13">
            <v>0.13760699309213759</v>
          </cell>
          <cell r="AR13">
            <v>7.5071617651384662E-2</v>
          </cell>
          <cell r="AS13">
            <v>8.3375985324378246E-2</v>
          </cell>
          <cell r="AT13">
            <v>5.587842073480858E-2</v>
          </cell>
          <cell r="AU13">
            <v>6.1058240140507716E-2</v>
          </cell>
          <cell r="AV13">
            <v>2.056650084068317E-2</v>
          </cell>
          <cell r="AW13">
            <v>2.3814269830556133E-2</v>
          </cell>
          <cell r="AX13">
            <v>1.1853915360875896E-2</v>
          </cell>
          <cell r="AY13">
            <v>1.0130677400422868E-2</v>
          </cell>
          <cell r="AZ13">
            <v>6.485915463197817E-3</v>
          </cell>
          <cell r="BA13">
            <v>3.7114790231305315E-3</v>
          </cell>
          <cell r="BB13">
            <v>1.762362052164422E-3</v>
          </cell>
          <cell r="BC13">
            <v>1.9241318055652234E-3</v>
          </cell>
          <cell r="BD13">
            <v>1.0963001083508866E-3</v>
          </cell>
          <cell r="BE13">
            <v>8.2156763985198611E-4</v>
          </cell>
          <cell r="BF13">
            <v>5.8432913369916423E-4</v>
          </cell>
          <cell r="BG13">
            <v>3.230955045498847E-4</v>
          </cell>
          <cell r="BH13">
            <v>3.4271013067011663E-4</v>
          </cell>
          <cell r="BI13">
            <v>3.4310382383314253E-4</v>
          </cell>
          <cell r="BJ13">
            <v>1.3422571448218641E-4</v>
          </cell>
          <cell r="BK13">
            <v>1.0626535118589495E-4</v>
          </cell>
          <cell r="BL13">
            <v>7.472794222948205E-5</v>
          </cell>
          <cell r="BM13">
            <v>4.0819389161652248E-5</v>
          </cell>
          <cell r="BN13">
            <v>5.2862424577950559E-5</v>
          </cell>
          <cell r="BO13">
            <v>2.0343887555438851E-5</v>
          </cell>
          <cell r="BP13">
            <v>3.2314366577937197E-5</v>
          </cell>
          <cell r="BQ13">
            <v>1.7012420119124835E-5</v>
          </cell>
          <cell r="BR13">
            <v>3.6733269861975359E-5</v>
          </cell>
          <cell r="BS13">
            <v>2.936861038839456E-5</v>
          </cell>
          <cell r="BT13">
            <v>3.4544815739514945E-5</v>
          </cell>
          <cell r="BU13">
            <v>3.7779351315433178E-5</v>
          </cell>
          <cell r="BV13">
            <v>2.6097832048333781E-5</v>
          </cell>
          <cell r="BW13">
            <v>4.9610111636625048E-5</v>
          </cell>
          <cell r="BX13">
            <v>1.3541373210000815E-5</v>
          </cell>
          <cell r="BY13">
            <v>1.0768877066231869E-5</v>
          </cell>
        </row>
        <row r="14">
          <cell r="B14">
            <v>5.2872108091151903E-3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1.1433249459146582E-10</v>
          </cell>
          <cell r="H14">
            <v>0</v>
          </cell>
          <cell r="I14">
            <v>4.3886337856561178E-9</v>
          </cell>
          <cell r="J14">
            <v>0</v>
          </cell>
          <cell r="K14">
            <v>4.6915645974558128E-10</v>
          </cell>
          <cell r="L14">
            <v>0</v>
          </cell>
          <cell r="M14">
            <v>1.1718071963704388E-8</v>
          </cell>
          <cell r="N14">
            <v>6.9335973271215821E-8</v>
          </cell>
          <cell r="O14">
            <v>6.1211991771674292E-8</v>
          </cell>
          <cell r="P14">
            <v>4.3841890075674131E-7</v>
          </cell>
          <cell r="Q14">
            <v>8.459936741091159E-7</v>
          </cell>
          <cell r="R14">
            <v>8.8110608684029975E-9</v>
          </cell>
          <cell r="S14">
            <v>1.9439243324578407E-7</v>
          </cell>
          <cell r="T14">
            <v>7.580301219071279E-7</v>
          </cell>
          <cell r="U14">
            <v>9.3033938283397237E-7</v>
          </cell>
          <cell r="V14">
            <v>1.5946484007178036E-6</v>
          </cell>
          <cell r="W14">
            <v>4.5900564067243325E-6</v>
          </cell>
          <cell r="X14">
            <v>7.508759821489058E-6</v>
          </cell>
          <cell r="Y14">
            <v>1.9695846293818028E-5</v>
          </cell>
          <cell r="Z14">
            <v>1.0774426215119744E-5</v>
          </cell>
          <cell r="AA14">
            <v>4.1917251526065565E-5</v>
          </cell>
          <cell r="AB14">
            <v>5.2341894329717554E-5</v>
          </cell>
          <cell r="AC14">
            <v>1.1159894928831455E-4</v>
          </cell>
          <cell r="AD14">
            <v>1.7141536763081588E-4</v>
          </cell>
          <cell r="AE14">
            <v>3.2361786423986257E-4</v>
          </cell>
          <cell r="AF14">
            <v>5.3852290507462781E-4</v>
          </cell>
          <cell r="AG14">
            <v>1.1118931922443197E-3</v>
          </cell>
          <cell r="AH14">
            <v>1.6793138986017004E-3</v>
          </cell>
          <cell r="AI14">
            <v>2.6861424260677283E-3</v>
          </cell>
          <cell r="AJ14">
            <v>6.5817283471813707E-3</v>
          </cell>
          <cell r="AK14">
            <v>1.6973004579749359E-2</v>
          </cell>
          <cell r="AL14">
            <v>2.908216758855724E-2</v>
          </cell>
          <cell r="AM14">
            <v>4.6484923712037891E-2</v>
          </cell>
          <cell r="AN14">
            <v>0.10649661107332989</v>
          </cell>
          <cell r="AO14">
            <v>7.5774273814799134E-2</v>
          </cell>
          <cell r="AP14">
            <v>0.11734502206378168</v>
          </cell>
          <cell r="AQ14">
            <v>0.14021971783850609</v>
          </cell>
          <cell r="AR14">
            <v>8.1862329337519329E-2</v>
          </cell>
          <cell r="AS14">
            <v>9.6691289889359697E-2</v>
          </cell>
          <cell r="AT14">
            <v>6.8499040606916931E-2</v>
          </cell>
          <cell r="AU14">
            <v>7.8814720919768322E-2</v>
          </cell>
          <cell r="AV14">
            <v>2.7822437452614458E-2</v>
          </cell>
          <cell r="AW14">
            <v>3.3544613350653785E-2</v>
          </cell>
          <cell r="AX14">
            <v>1.7307015918708001E-2</v>
          </cell>
          <cell r="AY14">
            <v>1.5281586919884672E-2</v>
          </cell>
          <cell r="AZ14">
            <v>1.0046183934931381E-2</v>
          </cell>
          <cell r="BA14">
            <v>5.8855106460760373E-3</v>
          </cell>
          <cell r="BB14">
            <v>2.8502277123680325E-3</v>
          </cell>
          <cell r="BC14">
            <v>3.1642976862523262E-3</v>
          </cell>
          <cell r="BD14">
            <v>1.8288295768705634E-3</v>
          </cell>
          <cell r="BE14">
            <v>1.3867768180040546E-3</v>
          </cell>
          <cell r="BF14">
            <v>9.9568747760306222E-4</v>
          </cell>
          <cell r="BG14">
            <v>5.54853645223315E-4</v>
          </cell>
          <cell r="BH14">
            <v>5.9300540984343606E-4</v>
          </cell>
          <cell r="BI14">
            <v>5.9835657868841736E-4</v>
          </cell>
          <cell r="BJ14">
            <v>2.3544246634146535E-4</v>
          </cell>
          <cell r="BK14">
            <v>1.8703053536522053E-4</v>
          </cell>
          <cell r="BL14">
            <v>1.3178566727359203E-4</v>
          </cell>
          <cell r="BM14">
            <v>7.2066004992241969E-5</v>
          </cell>
          <cell r="BN14">
            <v>9.3382903293848745E-5</v>
          </cell>
          <cell r="BO14">
            <v>3.5949548054512835E-5</v>
          </cell>
          <cell r="BP14">
            <v>5.7111834766166072E-5</v>
          </cell>
          <cell r="BQ14">
            <v>3.0069966223177531E-5</v>
          </cell>
          <cell r="BR14">
            <v>6.4929804056707664E-5</v>
          </cell>
          <cell r="BS14">
            <v>5.1913066031880351E-5</v>
          </cell>
          <cell r="BT14">
            <v>6.1063352414380631E-5</v>
          </cell>
          <cell r="BU14">
            <v>6.6781231699666801E-5</v>
          </cell>
          <cell r="BV14">
            <v>4.613231990812502E-5</v>
          </cell>
          <cell r="BW14">
            <v>8.7694341367634292E-5</v>
          </cell>
          <cell r="BX14">
            <v>2.3936700519761406E-5</v>
          </cell>
          <cell r="BY14">
            <v>1.9035839473203973E-5</v>
          </cell>
        </row>
        <row r="15">
          <cell r="B15">
            <v>9.150594731244801E-4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2.5722256261060556E-9</v>
          </cell>
          <cell r="H15">
            <v>0</v>
          </cell>
          <cell r="I15">
            <v>4.7326031363462383E-8</v>
          </cell>
          <cell r="J15">
            <v>0</v>
          </cell>
          <cell r="K15">
            <v>3.9052371562260292E-9</v>
          </cell>
          <cell r="L15">
            <v>0</v>
          </cell>
          <cell r="M15">
            <v>7.3808970779847822E-8</v>
          </cell>
          <cell r="N15">
            <v>2.9578705532076385E-7</v>
          </cell>
          <cell r="O15">
            <v>2.264267472607857E-7</v>
          </cell>
          <cell r="P15">
            <v>1.0790659904337464E-6</v>
          </cell>
          <cell r="Q15">
            <v>1.9180341500619805E-6</v>
          </cell>
          <cell r="R15">
            <v>2.0738168953141761E-8</v>
          </cell>
          <cell r="S15">
            <v>4.1296862448691854E-7</v>
          </cell>
          <cell r="T15">
            <v>1.3748393957707073E-6</v>
          </cell>
          <cell r="U15">
            <v>1.4236911470660667E-6</v>
          </cell>
          <cell r="V15">
            <v>2.0672596849624632E-6</v>
          </cell>
          <cell r="W15">
            <v>5.0464964846421292E-6</v>
          </cell>
          <cell r="X15">
            <v>7.0258040871062847E-6</v>
          </cell>
          <cell r="Y15">
            <v>1.5667083010933425E-5</v>
          </cell>
          <cell r="Z15">
            <v>7.2982182308744659E-6</v>
          </cell>
          <cell r="AA15">
            <v>2.4105793095045218E-5</v>
          </cell>
          <cell r="AB15">
            <v>2.5365025639379869E-5</v>
          </cell>
          <cell r="AC15">
            <v>4.5031770199552752E-5</v>
          </cell>
          <cell r="AD15">
            <v>5.7510714115712754E-5</v>
          </cell>
          <cell r="AE15">
            <v>9.0366525438962314E-5</v>
          </cell>
          <cell r="AF15">
            <v>1.2644348517761139E-4</v>
          </cell>
          <cell r="AG15">
            <v>2.2395509298907908E-4</v>
          </cell>
          <cell r="AH15">
            <v>2.9760322911369396E-4</v>
          </cell>
          <cell r="AI15">
            <v>4.3170744218907868E-4</v>
          </cell>
          <cell r="AJ15">
            <v>9.9775575690397148E-4</v>
          </cell>
          <cell r="AK15">
            <v>2.5353224204966839E-3</v>
          </cell>
          <cell r="AL15">
            <v>4.4458595153509155E-3</v>
          </cell>
          <cell r="AM15">
            <v>7.622169295395706E-3</v>
          </cell>
          <cell r="AN15">
            <v>1.939754933933123E-2</v>
          </cell>
          <cell r="AO15">
            <v>1.5975296913114067E-2</v>
          </cell>
          <cell r="AP15">
            <v>2.9764372688142558E-2</v>
          </cell>
          <cell r="AQ15">
            <v>4.3706855622661384E-2</v>
          </cell>
          <cell r="AR15">
            <v>3.2685885979637869E-2</v>
          </cell>
          <cell r="AS15">
            <v>5.049611190512987E-2</v>
          </cell>
          <cell r="AT15">
            <v>4.744766202015397E-2</v>
          </cell>
          <cell r="AU15">
            <v>7.4106602173607247E-2</v>
          </cell>
          <cell r="AV15">
            <v>3.5988341768277067E-2</v>
          </cell>
          <cell r="AW15">
            <v>5.9158505927925827E-2</v>
          </cell>
          <cell r="AX15">
            <v>4.1699866167278485E-2</v>
          </cell>
          <cell r="AY15">
            <v>5.0926194497696309E-2</v>
          </cell>
          <cell r="AZ15">
            <v>4.5181690524888976E-2</v>
          </cell>
          <cell r="BA15">
            <v>3.5962577495298187E-2</v>
          </cell>
          <cell r="BB15">
            <v>2.3433939330795409E-2</v>
          </cell>
          <cell r="BC15">
            <v>3.4881697743824089E-2</v>
          </cell>
          <cell r="BD15">
            <v>2.7035673495423591E-2</v>
          </cell>
          <cell r="BE15">
            <v>2.7253652392161775E-2</v>
          </cell>
          <cell r="BF15">
            <v>2.5568775238866061E-2</v>
          </cell>
          <cell r="BG15">
            <v>1.8442363325785225E-2</v>
          </cell>
          <cell r="BH15">
            <v>2.6520632696202112E-2</v>
          </cell>
          <cell r="BI15">
            <v>3.9132723766458245E-2</v>
          </cell>
          <cell r="BJ15">
            <v>2.1965618947407815E-2</v>
          </cell>
          <cell r="BK15">
            <v>2.2472682395330984E-2</v>
          </cell>
          <cell r="BL15">
            <v>1.874146815334728E-2</v>
          </cell>
          <cell r="BM15">
            <v>1.131138249296245E-2</v>
          </cell>
          <cell r="BN15">
            <v>1.5434762802548409E-2</v>
          </cell>
          <cell r="BO15">
            <v>6.0787451151541215E-3</v>
          </cell>
          <cell r="BP15">
            <v>9.7131943704437864E-3</v>
          </cell>
          <cell r="BQ15">
            <v>5.0916596595865201E-3</v>
          </cell>
          <cell r="BR15">
            <v>1.0899864611339979E-2</v>
          </cell>
          <cell r="BS15">
            <v>8.612262781545383E-3</v>
          </cell>
          <cell r="BT15">
            <v>9.955249479772145E-3</v>
          </cell>
          <cell r="BU15">
            <v>1.064665033415289E-2</v>
          </cell>
          <cell r="BV15">
            <v>7.1944575724617269E-3</v>
          </cell>
          <cell r="BW15">
            <v>1.3290192511073147E-2</v>
          </cell>
          <cell r="BX15">
            <v>3.4331812779009297E-3</v>
          </cell>
          <cell r="BY15">
            <v>2.5094169178400145E-3</v>
          </cell>
        </row>
        <row r="16">
          <cell r="B16">
            <v>1.1896948699797404E-3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5.506040273693148E-11</v>
          </cell>
          <cell r="H16">
            <v>0</v>
          </cell>
          <cell r="I16">
            <v>1.4381008607749869E-9</v>
          </cell>
          <cell r="J16">
            <v>0</v>
          </cell>
          <cell r="K16">
            <v>1.3157877006832225E-10</v>
          </cell>
          <cell r="L16">
            <v>0</v>
          </cell>
          <cell r="M16">
            <v>2.9327610415616647E-9</v>
          </cell>
          <cell r="N16">
            <v>1.4444660541504281E-8</v>
          </cell>
          <cell r="O16">
            <v>1.175487921312764E-8</v>
          </cell>
          <cell r="P16">
            <v>6.988784310725238E-8</v>
          </cell>
          <cell r="Q16">
            <v>1.2737788792732765E-7</v>
          </cell>
          <cell r="R16">
            <v>1.341322093140851E-9</v>
          </cell>
          <cell r="S16">
            <v>2.83417101843484E-8</v>
          </cell>
          <cell r="T16">
            <v>1.0284850393914396E-7</v>
          </cell>
          <cell r="U16">
            <v>1.165180760890538E-7</v>
          </cell>
          <cell r="V16">
            <v>1.8434578800214665E-7</v>
          </cell>
          <cell r="W16">
            <v>4.8968151043997146E-7</v>
          </cell>
          <cell r="X16">
            <v>7.392830529801843E-7</v>
          </cell>
          <cell r="Y16">
            <v>1.7880942814179847E-6</v>
          </cell>
          <cell r="Z16">
            <v>9.0219886509262848E-7</v>
          </cell>
          <cell r="AA16">
            <v>3.2326957948217005E-6</v>
          </cell>
          <cell r="AB16">
            <v>3.6955572418988913E-6</v>
          </cell>
          <cell r="AC16">
            <v>7.1713066784125535E-6</v>
          </cell>
          <cell r="AD16">
            <v>1.0011756617323017E-5</v>
          </cell>
          <cell r="AE16">
            <v>1.7220555400547796E-5</v>
          </cell>
          <cell r="AF16">
            <v>2.6405978958582447E-5</v>
          </cell>
          <cell r="AG16">
            <v>5.1276879555313153E-5</v>
          </cell>
          <cell r="AH16">
            <v>7.4631354142406424E-5</v>
          </cell>
          <cell r="AI16">
            <v>1.1912979092391502E-4</v>
          </cell>
          <cell r="AJ16">
            <v>3.0274135558053245E-4</v>
          </cell>
          <cell r="AK16">
            <v>8.48687229683915E-4</v>
          </cell>
          <cell r="AL16">
            <v>1.6349221194933467E-3</v>
          </cell>
          <cell r="AM16">
            <v>3.0949911979575289E-3</v>
          </cell>
          <cell r="AN16">
            <v>8.6685492083273287E-3</v>
          </cell>
          <cell r="AO16">
            <v>7.8723064660728755E-3</v>
          </cell>
          <cell r="AP16">
            <v>1.6166411303779729E-2</v>
          </cell>
          <cell r="AQ16">
            <v>2.5957167520539854E-2</v>
          </cell>
          <cell r="AR16">
            <v>2.1282118688256541E-2</v>
          </cell>
          <cell r="AS16">
            <v>3.586588864295049E-2</v>
          </cell>
          <cell r="AT16">
            <v>3.6549532311387495E-2</v>
          </cell>
          <cell r="AU16">
            <v>6.1818923270631321E-2</v>
          </cell>
          <cell r="AV16">
            <v>3.2367556907586525E-2</v>
          </cell>
          <cell r="AW16">
            <v>5.6749367049666904E-2</v>
          </cell>
          <cell r="AX16">
            <v>4.2379082893784122E-2</v>
          </cell>
          <cell r="AY16">
            <v>5.45690039779523E-2</v>
          </cell>
          <cell r="AZ16">
            <v>5.0466723464882624E-2</v>
          </cell>
          <cell r="BA16">
            <v>4.1660787621195121E-2</v>
          </cell>
          <cell r="BB16">
            <v>2.7949792643339241E-2</v>
          </cell>
          <cell r="BC16">
            <v>4.2581515814030461E-2</v>
          </cell>
          <cell r="BD16">
            <v>3.360330610536038E-2</v>
          </cell>
          <cell r="BE16">
            <v>3.4310027410845621E-2</v>
          </cell>
          <cell r="BF16">
            <v>3.2458075895501322E-2</v>
          </cell>
          <cell r="BG16">
            <v>2.353058322187768E-2</v>
          </cell>
          <cell r="BH16">
            <v>3.3932331256614545E-2</v>
          </cell>
          <cell r="BI16">
            <v>5.0024062752814125E-2</v>
          </cell>
          <cell r="BJ16">
            <v>2.793643587529427E-2</v>
          </cell>
          <cell r="BK16">
            <v>2.8415050452316029E-2</v>
          </cell>
          <cell r="BL16">
            <v>2.3567929523346465E-2</v>
          </cell>
          <cell r="BM16">
            <v>1.4164017844977946E-2</v>
          </cell>
          <cell r="BN16">
            <v>1.9268487557942311E-2</v>
          </cell>
          <cell r="BO16">
            <v>7.5710017801205922E-3</v>
          </cell>
          <cell r="BP16">
            <v>1.2078526781721919E-2</v>
          </cell>
          <cell r="BQ16">
            <v>6.3245128600678963E-3</v>
          </cell>
          <cell r="BR16">
            <v>1.3529402893277516E-2</v>
          </cell>
          <cell r="BS16">
            <v>1.0684768871190839E-2</v>
          </cell>
          <cell r="BT16">
            <v>1.2346636226676453E-2</v>
          </cell>
          <cell r="BU16">
            <v>1.3201046973894131E-2</v>
          </cell>
          <cell r="BV16">
            <v>8.919416897531814E-3</v>
          </cell>
          <cell r="BW16">
            <v>1.6475109216564286E-2</v>
          </cell>
          <cell r="BX16">
            <v>4.2556412985684114E-3</v>
          </cell>
          <cell r="BY16">
            <v>3.1105071952219451E-3</v>
          </cell>
        </row>
        <row r="17">
          <cell r="B17">
            <v>1.8643894722337594E-3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1.6121679160887635E-12</v>
          </cell>
          <cell r="H17">
            <v>0</v>
          </cell>
          <cell r="I17">
            <v>5.7334300057682941E-11</v>
          </cell>
          <cell r="J17">
            <v>0</v>
          </cell>
          <cell r="K17">
            <v>5.712809722969436E-12</v>
          </cell>
          <cell r="L17">
            <v>0</v>
          </cell>
          <cell r="M17">
            <v>1.4815106661855934E-10</v>
          </cell>
          <cell r="N17">
            <v>8.7585139637302411E-10</v>
          </cell>
          <cell r="O17">
            <v>7.5071563349148846E-10</v>
          </cell>
          <cell r="P17">
            <v>5.4210640404036179E-9</v>
          </cell>
          <cell r="Q17">
            <v>1.0082281306857828E-8</v>
          </cell>
          <cell r="R17">
            <v>1.0378932139645473E-10</v>
          </cell>
          <cell r="S17">
            <v>2.3088580130464953E-9</v>
          </cell>
          <cell r="T17">
            <v>9.0256362841309328E-9</v>
          </cell>
          <cell r="U17">
            <v>1.1046561647280112E-8</v>
          </cell>
          <cell r="V17">
            <v>1.8807286035731433E-8</v>
          </cell>
          <cell r="W17">
            <v>5.3689385171559978E-8</v>
          </cell>
          <cell r="X17">
            <v>8.6830134154737395E-8</v>
          </cell>
          <cell r="Y17">
            <v>2.2500515555731332E-7</v>
          </cell>
          <cell r="Z17">
            <v>1.2148620500858853E-7</v>
          </cell>
          <cell r="AA17">
            <v>4.6645648296344376E-7</v>
          </cell>
          <cell r="AB17">
            <v>5.7171643650010527E-7</v>
          </cell>
          <cell r="AC17">
            <v>1.1949868081552789E-6</v>
          </cell>
          <cell r="AD17">
            <v>1.796075020872758E-6</v>
          </cell>
          <cell r="AE17">
            <v>3.3283974728044445E-6</v>
          </cell>
          <cell r="AF17">
            <v>5.5032836339346023E-6</v>
          </cell>
          <cell r="AG17">
            <v>1.1528272239098998E-5</v>
          </cell>
          <cell r="AH17">
            <v>1.8074701742006518E-5</v>
          </cell>
          <cell r="AI17">
            <v>3.1180723390204837E-5</v>
          </cell>
          <cell r="AJ17">
            <v>8.5525601156880032E-5</v>
          </cell>
          <cell r="AK17">
            <v>2.5946937867527036E-4</v>
          </cell>
          <cell r="AL17">
            <v>5.3885907079548225E-4</v>
          </cell>
          <cell r="AM17">
            <v>1.1053456069910058E-3</v>
          </cell>
          <cell r="AN17">
            <v>3.3448083454186892E-3</v>
          </cell>
          <cell r="AO17">
            <v>3.2874350492400261E-3</v>
          </cell>
          <cell r="AP17">
            <v>7.3062149433634265E-3</v>
          </cell>
          <cell r="AQ17">
            <v>1.2615606705175784E-2</v>
          </cell>
          <cell r="AR17">
            <v>1.1164785310330556E-2</v>
          </cell>
          <cell r="AS17">
            <v>2.0257156998427717E-2</v>
          </cell>
          <cell r="AT17">
            <v>2.2158269009777035E-2</v>
          </cell>
          <cell r="AU17">
            <v>4.0314618068720207E-2</v>
          </cell>
          <cell r="AV17">
            <v>2.2705823265428429E-2</v>
          </cell>
          <cell r="AW17">
            <v>4.2498225208429247E-2</v>
          </cell>
          <cell r="AX17">
            <v>3.3786446275405703E-2</v>
          </cell>
          <cell r="AY17">
            <v>4.632651015522541E-2</v>
          </cell>
          <cell r="AZ17">
            <v>4.5203816969093535E-2</v>
          </cell>
          <cell r="BA17">
            <v>3.9371064719497591E-2</v>
          </cell>
          <cell r="BB17">
            <v>2.7748559715326776E-2</v>
          </cell>
          <cell r="BC17">
            <v>4.430771447498151E-2</v>
          </cell>
          <cell r="BD17">
            <v>3.656673719946555E-2</v>
          </cell>
          <cell r="BE17">
            <v>3.8918346034064813E-2</v>
          </cell>
          <cell r="BF17">
            <v>3.8170837768512593E-2</v>
          </cell>
          <cell r="BG17">
            <v>2.8601628052688143E-2</v>
          </cell>
          <cell r="BH17">
            <v>4.273785288442699E-2</v>
          </cell>
          <cell r="BI17">
            <v>6.5835279034491143E-2</v>
          </cell>
          <cell r="BJ17">
            <v>3.8276629743594269E-2</v>
          </cell>
          <cell r="BK17">
            <v>4.0046313655295422E-2</v>
          </cell>
          <cell r="BL17">
            <v>3.3891554972632271E-2</v>
          </cell>
          <cell r="BM17">
            <v>2.0641912678458458E-2</v>
          </cell>
          <cell r="BN17">
            <v>2.8322060348277715E-2</v>
          </cell>
          <cell r="BO17">
            <v>1.119380571031359E-2</v>
          </cell>
          <cell r="BP17">
            <v>1.7924527228636786E-2</v>
          </cell>
          <cell r="BQ17">
            <v>9.4083694081664119E-3</v>
          </cell>
          <cell r="BR17">
            <v>2.0156012765344865E-2</v>
          </cell>
          <cell r="BS17">
            <v>1.5933063390012034E-2</v>
          </cell>
          <cell r="BT17">
            <v>1.8423007247188018E-2</v>
          </cell>
          <cell r="BU17">
            <v>1.9705933184545197E-2</v>
          </cell>
          <cell r="BV17">
            <v>1.3317455582291722E-2</v>
          </cell>
          <cell r="BW17">
            <v>2.4602568401935331E-2</v>
          </cell>
          <cell r="BX17">
            <v>6.3556704435860619E-3</v>
          </cell>
          <cell r="BY17">
            <v>4.6455996634181393E-3</v>
          </cell>
        </row>
        <row r="19">
          <cell r="B19">
            <v>4.7456126334577014E-6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8.6606103426446219E-3</v>
          </cell>
          <cell r="H19">
            <v>0</v>
          </cell>
          <cell r="I19">
            <v>4.3831422997464245E-2</v>
          </cell>
          <cell r="J19">
            <v>0</v>
          </cell>
          <cell r="K19">
            <v>2.3957754023311191E-3</v>
          </cell>
          <cell r="L19">
            <v>0</v>
          </cell>
          <cell r="M19">
            <v>2.553896964240265E-2</v>
          </cell>
          <cell r="N19">
            <v>4.8173204901932346E-2</v>
          </cell>
          <cell r="O19">
            <v>2.8932560575433714E-2</v>
          </cell>
          <cell r="P19">
            <v>6.050055323228111E-2</v>
          </cell>
          <cell r="Q19">
            <v>9.5617139628741132E-2</v>
          </cell>
          <cell r="R19">
            <v>1.1360583881415338E-3</v>
          </cell>
          <cell r="S19">
            <v>1.811962526709069E-2</v>
          </cell>
          <cell r="T19">
            <v>4.3292273782511763E-2</v>
          </cell>
          <cell r="U19">
            <v>3.1455295216368979E-2</v>
          </cell>
          <cell r="V19">
            <v>3.228348898687039E-2</v>
          </cell>
          <cell r="W19">
            <v>5.5551489441063119E-2</v>
          </cell>
          <cell r="X19">
            <v>5.4725783863888253E-2</v>
          </cell>
          <cell r="Y19">
            <v>8.5428790043622152E-2</v>
          </cell>
          <cell r="Z19">
            <v>2.7699790602026486E-2</v>
          </cell>
          <cell r="AA19">
            <v>6.2407406353177979E-2</v>
          </cell>
          <cell r="AB19">
            <v>4.3575268474726821E-2</v>
          </cell>
          <cell r="AC19">
            <v>4.8724705150245434E-2</v>
          </cell>
          <cell r="AD19">
            <v>3.790325822853656E-2</v>
          </cell>
          <cell r="AE19">
            <v>3.4588381940899526E-2</v>
          </cell>
          <cell r="AF19">
            <v>2.6655119377376916E-2</v>
          </cell>
          <cell r="AG19">
            <v>2.4563869029776128E-2</v>
          </cell>
          <cell r="AH19">
            <v>1.597288729785595E-2</v>
          </cell>
          <cell r="AI19">
            <v>1.0229551239621829E-2</v>
          </cell>
          <cell r="AJ19">
            <v>9.712166979666377E-3</v>
          </cell>
          <cell r="AK19">
            <v>9.2469902990799224E-3</v>
          </cell>
          <cell r="AL19">
            <v>5.7774711215623862E-3</v>
          </cell>
          <cell r="AM19">
            <v>3.2972800449159075E-3</v>
          </cell>
          <cell r="AN19">
            <v>2.7188371953503409E-3</v>
          </cell>
          <cell r="AO19">
            <v>6.8197579884376862E-4</v>
          </cell>
          <cell r="AP19">
            <v>3.7148589756755323E-4</v>
          </cell>
          <cell r="AQ19">
            <v>1.6510404091556083E-4</v>
          </cell>
          <cell r="AR19">
            <v>3.5693317859701612E-5</v>
          </cell>
          <cell r="AS19">
            <v>1.6575932540389869E-5</v>
          </cell>
          <cell r="AT19">
            <v>4.9572028994024205E-6</v>
          </cell>
          <cell r="AU19">
            <v>2.5676053451159126E-6</v>
          </cell>
          <cell r="AV19">
            <v>4.4159654108241195E-7</v>
          </cell>
          <cell r="AW19">
            <v>2.8166684815466489E-7</v>
          </cell>
          <cell r="AX19">
            <v>8.1117384061003896E-8</v>
          </cell>
          <cell r="AY19">
            <v>4.0791238651849134E-8</v>
          </cell>
          <cell r="AZ19">
            <v>1.5814490800860512E-8</v>
          </cell>
          <cell r="BA19">
            <v>5.4480125657067719E-9</v>
          </cell>
          <cell r="BB19">
            <v>1.5517429919772199E-9</v>
          </cell>
          <cell r="BC19">
            <v>1.0020522454816454E-9</v>
          </cell>
          <cell r="BD19">
            <v>3.3113604721451038E-10</v>
          </cell>
          <cell r="BE19">
            <v>1.4090640865585005E-10</v>
          </cell>
          <cell r="BF19">
            <v>5.5973504979344327E-11</v>
          </cell>
          <cell r="BG19">
            <v>1.6798339846029545E-11</v>
          </cell>
          <cell r="BH19">
            <v>8.0455797856237205E-12</v>
          </cell>
          <cell r="BI19">
            <v>2.3847663714799257E-12</v>
          </cell>
          <cell r="BJ19">
            <v>2.0060631313122591E-13</v>
          </cell>
          <cell r="BK19">
            <v>2.9645750139092712E-14</v>
          </cell>
          <cell r="BL19">
            <v>3.3020037403173853E-15</v>
          </cell>
          <cell r="BM19">
            <v>2.4850528009489245E-16</v>
          </cell>
          <cell r="BN19">
            <v>3.9992886242363126E-17</v>
          </cell>
          <cell r="BO19">
            <v>1.7161747826728505E-18</v>
          </cell>
          <cell r="BP19">
            <v>2.880658878063215E-19</v>
          </cell>
          <cell r="BQ19">
            <v>1.5047138487907305E-20</v>
          </cell>
          <cell r="BR19">
            <v>3.2174220417709562E-21</v>
          </cell>
          <cell r="BS19">
            <v>2.4858297546652208E-22</v>
          </cell>
          <cell r="BT19">
            <v>2.4827648341451548E-23</v>
          </cell>
          <cell r="BU19">
            <v>2.0652374991963258E-24</v>
          </cell>
          <cell r="BV19">
            <v>1.1287748308086765E-25</v>
          </cell>
          <cell r="BW19">
            <v>6.4827135525108625E-27</v>
          </cell>
          <cell r="BX19">
            <v>4.9859469687554755E-30</v>
          </cell>
          <cell r="BY19">
            <v>1.7512851138689057E-33</v>
          </cell>
        </row>
        <row r="20">
          <cell r="B20">
            <v>1.7872371125420543E-2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3.3501196783798795E-3</v>
          </cell>
          <cell r="H20">
            <v>0</v>
          </cell>
          <cell r="I20">
            <v>1.7298817849401869E-2</v>
          </cell>
          <cell r="J20">
            <v>0</v>
          </cell>
          <cell r="K20">
            <v>9.5583013198151953E-4</v>
          </cell>
          <cell r="L20">
            <v>0</v>
          </cell>
          <cell r="M20">
            <v>1.0393714757017515E-2</v>
          </cell>
          <cell r="N20">
            <v>2.036008278470498E-2</v>
          </cell>
          <cell r="O20">
            <v>1.2453933387759358E-2</v>
          </cell>
          <cell r="P20">
            <v>2.7946449281157242E-2</v>
          </cell>
          <cell r="Q20">
            <v>4.5085202671318665E-2</v>
          </cell>
          <cell r="R20">
            <v>5.3298908982595374E-4</v>
          </cell>
          <cell r="S20">
            <v>8.6892044706946298E-3</v>
          </cell>
          <cell r="T20">
            <v>2.16002702791483E-2</v>
          </cell>
          <cell r="U20">
            <v>1.6509289040348995E-2</v>
          </cell>
          <cell r="V20">
            <v>1.7948058798060548E-2</v>
          </cell>
          <cell r="W20">
            <v>3.2991789148880089E-2</v>
          </cell>
          <cell r="X20">
            <v>3.4991966853433809E-2</v>
          </cell>
          <cell r="Y20">
            <v>5.9423047718389507E-2</v>
          </cell>
          <cell r="Z20">
            <v>2.1163114944591842E-2</v>
          </cell>
          <cell r="AA20">
            <v>5.3040420375354988E-2</v>
          </cell>
          <cell r="AB20">
            <v>4.1710197251866379E-2</v>
          </cell>
          <cell r="AC20">
            <v>5.3429078618549598E-2</v>
          </cell>
          <cell r="AD20">
            <v>4.8184587083501713E-2</v>
          </cell>
          <cell r="AE20">
            <v>5.1706094864222084E-2</v>
          </cell>
          <cell r="AF20">
            <v>4.7477310688662767E-2</v>
          </cell>
          <cell r="AG20">
            <v>5.2783965191503496E-2</v>
          </cell>
          <cell r="AH20">
            <v>4.1818619447807785E-2</v>
          </cell>
          <cell r="AI20">
            <v>3.3134897485892705E-2</v>
          </cell>
          <cell r="AJ20">
            <v>3.9276892059756388E-2</v>
          </cell>
          <cell r="AK20">
            <v>4.7350694803487997E-2</v>
          </cell>
          <cell r="AL20">
            <v>3.7951315225366773E-2</v>
          </cell>
          <cell r="AM20">
            <v>2.8069941554209998E-2</v>
          </cell>
          <cell r="AN20">
            <v>3.0166228531469837E-2</v>
          </cell>
          <cell r="AO20">
            <v>9.9847516595272974E-3</v>
          </cell>
          <cell r="AP20">
            <v>7.2573066351627972E-3</v>
          </cell>
          <cell r="AQ20">
            <v>4.2995068269180235E-3</v>
          </cell>
          <cell r="AR20">
            <v>1.2614141112367145E-3</v>
          </cell>
          <cell r="AS20">
            <v>7.9928965966481508E-4</v>
          </cell>
          <cell r="AT20">
            <v>3.2842893881093965E-4</v>
          </cell>
          <cell r="AU20">
            <v>2.3717440670065841E-4</v>
          </cell>
          <cell r="AV20">
            <v>5.755587561799532E-5</v>
          </cell>
          <cell r="AW20">
            <v>5.1927433324418624E-5</v>
          </cell>
          <cell r="AX20">
            <v>2.1322903706211796E-5</v>
          </cell>
          <cell r="AY20">
            <v>1.5590408461688404E-5</v>
          </cell>
          <cell r="AZ20">
            <v>8.7456895824717386E-6</v>
          </cell>
          <cell r="BA20">
            <v>4.4354210317733136E-6</v>
          </cell>
          <cell r="BB20">
            <v>1.8734574194644743E-6</v>
          </cell>
          <cell r="BC20">
            <v>1.8182325418497648E-6</v>
          </cell>
          <cell r="BD20">
            <v>9.1617314622068237E-7</v>
          </cell>
          <cell r="BE20">
            <v>6.0267416014337402E-7</v>
          </cell>
          <cell r="BF20">
            <v>3.7185063825327002E-7</v>
          </cell>
          <cell r="BG20">
            <v>1.7587497084651491E-7</v>
          </cell>
          <cell r="BH20">
            <v>1.5011718615794312E-7</v>
          </cell>
          <cell r="BI20">
            <v>1.0513027752863897E-7</v>
          </cell>
          <cell r="BJ20">
            <v>2.5065911550489967E-8</v>
          </cell>
          <cell r="BK20">
            <v>1.0908539122976934E-8</v>
          </cell>
          <cell r="BL20">
            <v>3.7827750134389578E-9</v>
          </cell>
          <cell r="BM20">
            <v>9.2710896333246526E-10</v>
          </cell>
          <cell r="BN20">
            <v>5.0228228670934929E-10</v>
          </cell>
          <cell r="BO20">
            <v>7.6049021615285189E-11</v>
          </cell>
          <cell r="BP20">
            <v>4.5931971674042059E-11</v>
          </cell>
          <cell r="BQ20">
            <v>8.8941558299108471E-12</v>
          </cell>
          <cell r="BR20">
            <v>7.0218583923723887E-12</v>
          </cell>
          <cell r="BS20">
            <v>2.0265721764577168E-12</v>
          </cell>
          <cell r="BT20">
            <v>8.1784395097569117E-13</v>
          </cell>
          <cell r="BU20">
            <v>2.9255955215165188E-13</v>
          </cell>
          <cell r="BV20">
            <v>6.7070333206115731E-14</v>
          </cell>
          <cell r="BW20">
            <v>2.7665469879400733E-14</v>
          </cell>
          <cell r="BX20">
            <v>5.8525943439812405E-16</v>
          </cell>
          <cell r="BY20">
            <v>1.6228145447749585E-17</v>
          </cell>
        </row>
        <row r="21">
          <cell r="B21">
            <v>1.1636805128433318E-2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2.0303518622539038E-3</v>
          </cell>
          <cell r="H21">
            <v>0</v>
          </cell>
          <cell r="I21">
            <v>1.0477579629567173E-2</v>
          </cell>
          <cell r="J21">
            <v>0</v>
          </cell>
          <cell r="K21">
            <v>5.7874219679363871E-4</v>
          </cell>
          <cell r="L21">
            <v>0</v>
          </cell>
          <cell r="M21">
            <v>6.2759865020425541E-3</v>
          </cell>
          <cell r="N21">
            <v>1.2235010630989656E-2</v>
          </cell>
          <cell r="O21">
            <v>7.466131077218322E-3</v>
          </cell>
          <cell r="P21">
            <v>1.6614943955294073E-2</v>
          </cell>
          <cell r="Q21">
            <v>2.6723430035021957E-2</v>
          </cell>
          <cell r="R21">
            <v>3.1569297210800879E-4</v>
          </cell>
          <cell r="S21">
            <v>5.1397140366880381E-3</v>
          </cell>
          <cell r="T21">
            <v>1.2746571247461484E-2</v>
          </cell>
          <cell r="U21">
            <v>9.7213131703578742E-3</v>
          </cell>
          <cell r="V21">
            <v>1.0560311427782403E-2</v>
          </cell>
          <cell r="W21">
            <v>1.943828790627285E-2</v>
          </cell>
          <cell r="X21">
            <v>2.0707371085304203E-2</v>
          </cell>
          <cell r="Y21">
            <v>3.5469334103458566E-2</v>
          </cell>
          <cell r="Z21">
            <v>1.2808377855802673E-2</v>
          </cell>
          <cell r="AA21">
            <v>3.2780549851860075E-2</v>
          </cell>
          <cell r="AB21">
            <v>2.65952660001922E-2</v>
          </cell>
          <cell r="AC21">
            <v>3.5637345134127696E-2</v>
          </cell>
          <cell r="AD21">
            <v>3.4083094557640706E-2</v>
          </cell>
          <cell r="AE21">
            <v>3.9378152163793145E-2</v>
          </cell>
          <cell r="AF21">
            <v>3.9500206170782731E-2</v>
          </cell>
          <cell r="AG21">
            <v>4.8611287336349542E-2</v>
          </cell>
          <cell r="AH21">
            <v>4.320129557976736E-2</v>
          </cell>
          <cell r="AI21">
            <v>3.9076057073013516E-2</v>
          </cell>
          <cell r="AJ21">
            <v>5.3527201920859906E-2</v>
          </cell>
          <cell r="AK21">
            <v>7.5566715360939535E-2</v>
          </cell>
          <cell r="AL21">
            <v>7.1586040995149453E-2</v>
          </cell>
          <cell r="AM21">
            <v>6.2973313749130927E-2</v>
          </cell>
          <cell r="AN21">
            <v>8.0791725645441195E-2</v>
          </cell>
          <cell r="AO21">
            <v>3.2118585442530698E-2</v>
          </cell>
          <cell r="AP21">
            <v>2.8039721712493141E-2</v>
          </cell>
          <cell r="AQ21">
            <v>1.9668716089435302E-2</v>
          </cell>
          <cell r="AR21">
            <v>6.7253823485640303E-3</v>
          </cell>
          <cell r="AS21">
            <v>4.7827270094933858E-3</v>
          </cell>
          <cell r="AT21">
            <v>2.0934496509083739E-3</v>
          </cell>
          <cell r="AU21">
            <v>1.5052200217468203E-3</v>
          </cell>
          <cell r="AV21">
            <v>3.3835594558857975E-4</v>
          </cell>
          <cell r="AW21">
            <v>2.6865393303321622E-4</v>
          </cell>
          <cell r="AX21">
            <v>9.3760540985102036E-5</v>
          </cell>
          <cell r="AY21">
            <v>5.7245465906720679E-5</v>
          </cell>
          <cell r="AZ21">
            <v>2.7514001930195632E-5</v>
          </cell>
          <cell r="BA21">
            <v>1.2200793471052795E-5</v>
          </cell>
          <cell r="BB21">
            <v>4.6701953047249125E-6</v>
          </cell>
          <cell r="BC21">
            <v>4.2422137765806917E-6</v>
          </cell>
          <cell r="BD21">
            <v>2.0566574573540567E-6</v>
          </cell>
          <cell r="BE21">
            <v>1.3336794237105707E-6</v>
          </cell>
          <cell r="BF21">
            <v>8.2732720970063148E-7</v>
          </cell>
          <cell r="BG21">
            <v>3.9834175391059786E-7</v>
          </cell>
          <cell r="BH21">
            <v>3.5213846002584171E-7</v>
          </cell>
          <cell r="BI21">
            <v>2.6220303762307099E-7</v>
          </cell>
          <cell r="BJ21">
            <v>6.7612333561990995E-8</v>
          </cell>
          <cell r="BK21">
            <v>3.2110082400991969E-8</v>
          </cell>
          <cell r="BL21">
            <v>1.2207967993228475E-8</v>
          </cell>
          <cell r="BM21">
            <v>3.3080084564425048E-9</v>
          </cell>
          <cell r="BN21">
            <v>1.9999701108597384E-9</v>
          </cell>
          <cell r="BO21">
            <v>3.3845975370787438E-10</v>
          </cell>
          <cell r="BP21">
            <v>2.2957754137658573E-10</v>
          </cell>
          <cell r="BQ21">
            <v>4.9956232429389453E-11</v>
          </cell>
          <cell r="BR21">
            <v>4.4489145507003545E-11</v>
          </cell>
          <cell r="BS21">
            <v>1.4485087969508604E-11</v>
          </cell>
          <cell r="BT21">
            <v>6.5874084059217496E-12</v>
          </cell>
          <cell r="BU21">
            <v>2.6467777338241589E-12</v>
          </cell>
          <cell r="BV21">
            <v>6.8280847440336895E-13</v>
          </cell>
          <cell r="BW21">
            <v>3.3412360706871984E-13</v>
          </cell>
          <cell r="BX21">
            <v>9.3560137296618458E-15</v>
          </cell>
          <cell r="BY21">
            <v>3.7244457937066241E-16</v>
          </cell>
        </row>
        <row r="22">
          <cell r="B22">
            <v>4.5893680170280724E-3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1.5353732861699083E-3</v>
          </cell>
          <cell r="H22">
            <v>0</v>
          </cell>
          <cell r="I22">
            <v>7.8974679601810874E-3</v>
          </cell>
          <cell r="J22">
            <v>0</v>
          </cell>
          <cell r="K22">
            <v>4.3534486295119666E-4</v>
          </cell>
          <cell r="L22">
            <v>0</v>
          </cell>
          <cell r="M22">
            <v>4.7065172088364563E-3</v>
          </cell>
          <cell r="N22">
            <v>9.117247372951864E-3</v>
          </cell>
          <cell r="O22">
            <v>5.5449092550971602E-3</v>
          </cell>
          <cell r="P22">
            <v>1.2183094677283617E-2</v>
          </cell>
          <cell r="Q22">
            <v>1.9514413512356662E-2</v>
          </cell>
          <cell r="R22">
            <v>2.3076615738605596E-4</v>
          </cell>
          <cell r="S22">
            <v>3.7411272956402843E-3</v>
          </cell>
          <cell r="T22">
            <v>9.2052252379208645E-3</v>
          </cell>
          <cell r="U22">
            <v>6.9483479526846912E-3</v>
          </cell>
          <cell r="V22">
            <v>7.457751990051561E-3</v>
          </cell>
          <cell r="W22">
            <v>1.3537127448029474E-2</v>
          </cell>
          <cell r="X22">
            <v>1.4197631421808453E-2</v>
          </cell>
          <cell r="Y22">
            <v>2.3900671893797337E-2</v>
          </cell>
          <cell r="Z22">
            <v>8.4746792910568511E-3</v>
          </cell>
          <cell r="AA22">
            <v>2.1289359838414977E-2</v>
          </cell>
          <cell r="AB22">
            <v>1.6978122534942727E-2</v>
          </cell>
          <cell r="AC22">
            <v>2.2452566036964303E-2</v>
          </cell>
          <cell r="AD22">
            <v>2.1365336345776104E-2</v>
          </cell>
          <cell r="AE22">
            <v>2.4855972454672262E-2</v>
          </cell>
          <cell r="AF22">
            <v>2.5500460113859022E-2</v>
          </cell>
          <cell r="AG22">
            <v>3.2666854313560263E-2</v>
          </cell>
          <cell r="AH22">
            <v>3.0795899967633742E-2</v>
          </cell>
          <cell r="AI22">
            <v>3.0226340923437529E-2</v>
          </cell>
          <cell r="AJ22">
            <v>4.5783677054273282E-2</v>
          </cell>
          <cell r="AK22">
            <v>7.2845462196016564E-2</v>
          </cell>
          <cell r="AL22">
            <v>7.8789674514654712E-2</v>
          </cell>
          <cell r="AM22">
            <v>8.0131044596753798E-2</v>
          </cell>
          <cell r="AN22">
            <v>0.11982379136350295</v>
          </cell>
          <cell r="AO22">
            <v>5.6207853684544513E-2</v>
          </cell>
          <cell r="AP22">
            <v>5.8460081113136067E-2</v>
          </cell>
          <cell r="AQ22">
            <v>4.8830795532776076E-2</v>
          </cell>
          <cell r="AR22">
            <v>2.0093410984120808E-2</v>
          </cell>
          <cell r="AS22">
            <v>1.7183277306345803E-2</v>
          </cell>
          <cell r="AT22">
            <v>9.0157918471763451E-3</v>
          </cell>
          <cell r="AU22">
            <v>7.7524351942088957E-3</v>
          </cell>
          <cell r="AV22">
            <v>2.0646484071732136E-3</v>
          </cell>
          <cell r="AW22">
            <v>1.9067717597381698E-3</v>
          </cell>
          <cell r="AX22">
            <v>7.5678803870116813E-4</v>
          </cell>
          <cell r="AY22">
            <v>5.1053726066176792E-4</v>
          </cell>
          <cell r="AZ22">
            <v>2.6042370417055923E-4</v>
          </cell>
          <cell r="BA22">
            <v>1.1755456949708169E-4</v>
          </cell>
          <cell r="BB22">
            <v>4.3961701894919358E-5</v>
          </cell>
          <cell r="BC22">
            <v>3.756336877538758E-5</v>
          </cell>
          <cell r="BD22">
            <v>1.6565555303055117E-5</v>
          </cell>
          <cell r="BE22">
            <v>9.5502249876957967E-6</v>
          </cell>
          <cell r="BF22">
            <v>5.2159634625284329E-6</v>
          </cell>
          <cell r="BG22">
            <v>2.1934968412947104E-6</v>
          </cell>
          <cell r="BH22">
            <v>1.6431556469689697E-6</v>
          </cell>
          <cell r="BI22">
            <v>9.7815732216387588E-7</v>
          </cell>
          <cell r="BJ22">
            <v>2.0375411566398172E-7</v>
          </cell>
          <cell r="BK22">
            <v>8.4011031506515793E-8</v>
          </cell>
          <cell r="BL22">
            <v>2.9549411152584E-8</v>
          </cell>
          <cell r="BM22">
            <v>7.8517838015314922E-9</v>
          </cell>
          <cell r="BN22">
            <v>4.8576521622888652E-9</v>
          </cell>
          <cell r="BO22">
            <v>8.6060753649307183E-10</v>
          </cell>
          <cell r="BP22">
            <v>6.2111112977955462E-10</v>
          </cell>
          <cell r="BQ22">
            <v>1.4488822156326688E-10</v>
          </cell>
          <cell r="BR22">
            <v>1.3916522345659412E-10</v>
          </cell>
          <cell r="BS22">
            <v>4.8964871625355153E-11</v>
          </cell>
          <cell r="BT22">
            <v>2.4075024727442237E-11</v>
          </cell>
          <cell r="BU22">
            <v>1.0447332475658971E-11</v>
          </cell>
          <cell r="BV22">
            <v>2.9145815158918351E-12</v>
          </cell>
          <cell r="BW22">
            <v>1.5969027801523487E-12</v>
          </cell>
          <cell r="BX22">
            <v>5.3849925134926422E-14</v>
          </cell>
          <cell r="BY22">
            <v>2.7251061429995372E-15</v>
          </cell>
        </row>
        <row r="23">
          <cell r="B23">
            <v>3.0852293687883849E-3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1.0964627694110348E-3</v>
          </cell>
          <cell r="H23">
            <v>0</v>
          </cell>
          <cell r="I23">
            <v>5.6382691599189561E-3</v>
          </cell>
          <cell r="J23">
            <v>0</v>
          </cell>
          <cell r="K23">
            <v>3.1068481321674436E-4</v>
          </cell>
          <cell r="L23">
            <v>0</v>
          </cell>
          <cell r="M23">
            <v>3.3569523833522526E-3</v>
          </cell>
          <cell r="N23">
            <v>6.4931061826642988E-3</v>
          </cell>
          <cell r="O23">
            <v>3.9450815629193193E-3</v>
          </cell>
          <cell r="P23">
            <v>8.6342361061761165E-3</v>
          </cell>
          <cell r="Q23">
            <v>1.3809327639720882E-2</v>
          </cell>
          <cell r="R23">
            <v>1.6335659885579701E-4</v>
          </cell>
          <cell r="S23">
            <v>2.6443948211457144E-3</v>
          </cell>
          <cell r="T23">
            <v>6.4874801547110325E-3</v>
          </cell>
          <cell r="U23">
            <v>4.8762470916360384E-3</v>
          </cell>
          <cell r="V23">
            <v>5.2052668907326327E-3</v>
          </cell>
          <cell r="W23">
            <v>9.3818543698434061E-3</v>
          </cell>
          <cell r="X23">
            <v>9.7517294674225301E-3</v>
          </cell>
          <cell r="Y23">
            <v>1.622798678993469E-2</v>
          </cell>
          <cell r="Z23">
            <v>5.6718018576787065E-3</v>
          </cell>
          <cell r="AA23">
            <v>1.3992123233187666E-2</v>
          </cell>
          <cell r="AB23">
            <v>1.0909862971140201E-2</v>
          </cell>
          <cell r="AC23">
            <v>1.4033188503497053E-2</v>
          </cell>
          <cell r="AD23">
            <v>1.2950813581399635E-2</v>
          </cell>
          <cell r="AE23">
            <v>1.460979509134973E-2</v>
          </cell>
          <cell r="AF23">
            <v>1.4614182463318345E-2</v>
          </cell>
          <cell r="AG23">
            <v>1.8481514573121138E-2</v>
          </cell>
          <cell r="AH23">
            <v>1.7533237687007833E-2</v>
          </cell>
          <cell r="AI23">
            <v>1.7795194055242183E-2</v>
          </cell>
          <cell r="AJ23">
            <v>2.8705178962967981E-2</v>
          </cell>
          <cell r="AK23">
            <v>5.016315745087619E-2</v>
          </cell>
          <cell r="AL23">
            <v>6.0972088357989521E-2</v>
          </cell>
          <cell r="AM23">
            <v>7.12239749517143E-2</v>
          </cell>
          <cell r="AN23">
            <v>0.12396140957894809</v>
          </cell>
          <cell r="AO23">
            <v>6.8770220442185392E-2</v>
          </cell>
          <cell r="AP23">
            <v>8.5588732802540465E-2</v>
          </cell>
          <cell r="AQ23">
            <v>8.5534421723517981E-2</v>
          </cell>
          <cell r="AR23">
            <v>4.2665269761223312E-2</v>
          </cell>
          <cell r="AS23">
            <v>4.4310253049816568E-2</v>
          </cell>
          <cell r="AT23">
            <v>2.8270857506877019E-2</v>
          </cell>
          <cell r="AU23">
            <v>2.9779471849163776E-2</v>
          </cell>
          <cell r="AV23">
            <v>9.7664735447919246E-3</v>
          </cell>
          <cell r="AW23">
            <v>1.1093068692275949E-2</v>
          </cell>
          <cell r="AX23">
            <v>5.4383311491285127E-3</v>
          </cell>
          <cell r="AY23">
            <v>4.5841382983022811E-3</v>
          </cell>
          <cell r="AZ23">
            <v>2.8969869912879986E-3</v>
          </cell>
          <cell r="BA23">
            <v>1.6331930984611334E-3</v>
          </cell>
          <cell r="BB23">
            <v>7.6185478901862362E-4</v>
          </cell>
          <cell r="BC23">
            <v>8.1339602088566188E-4</v>
          </cell>
          <cell r="BD23">
            <v>4.5013599718663231E-4</v>
          </cell>
          <cell r="BE23">
            <v>3.2500879156208156E-4</v>
          </cell>
          <cell r="BF23">
            <v>2.2075110940462912E-4</v>
          </cell>
          <cell r="BG23">
            <v>1.1513670453611386E-4</v>
          </cell>
          <cell r="BH23">
            <v>1.1143272019567575E-4</v>
          </cell>
          <cell r="BI23">
            <v>9.3245778369104528E-5</v>
          </cell>
          <cell r="BJ23">
            <v>2.7249029973112767E-5</v>
          </cell>
          <cell r="BK23">
            <v>1.4716891982504249E-5</v>
          </cell>
          <cell r="BL23">
            <v>6.3889988617822046E-6</v>
          </cell>
          <cell r="BM23">
            <v>1.9975305065814528E-6</v>
          </cell>
          <cell r="BN23">
            <v>1.4104223809184594E-6</v>
          </cell>
          <cell r="BO23">
            <v>2.7961588531579772E-7</v>
          </cell>
          <cell r="BP23">
            <v>2.2365863150956209E-7</v>
          </cell>
          <cell r="BQ23">
            <v>5.7487425425981469E-8</v>
          </cell>
          <cell r="BR23">
            <v>6.0777194825381453E-8</v>
          </cell>
          <cell r="BS23">
            <v>2.3504662522054916E-8</v>
          </cell>
          <cell r="BT23">
            <v>1.2686049671008408E-8</v>
          </cell>
          <cell r="BU23">
            <v>6.0326717884062925E-9</v>
          </cell>
          <cell r="BV23">
            <v>1.8459865551562844E-9</v>
          </cell>
          <cell r="BW23">
            <v>1.1554347793806051E-9</v>
          </cell>
          <cell r="BX23">
            <v>4.8480805574777877E-11</v>
          </cell>
          <cell r="BY23">
            <v>3.2524277611071886E-12</v>
          </cell>
        </row>
        <row r="24">
          <cell r="B24">
            <v>1.3688924894735468E-4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1.4246564978621615E-5</v>
          </cell>
          <cell r="H24">
            <v>0</v>
          </cell>
          <cell r="I24">
            <v>1.1893726773908816E-4</v>
          </cell>
          <cell r="J24">
            <v>0</v>
          </cell>
          <cell r="K24">
            <v>7.6816700548657791E-6</v>
          </cell>
          <cell r="L24">
            <v>0</v>
          </cell>
          <cell r="M24">
            <v>1.0179619285659582E-4</v>
          </cell>
          <cell r="N24">
            <v>2.5831520731614798E-4</v>
          </cell>
          <cell r="O24">
            <v>1.7167051397252005E-4</v>
          </cell>
          <cell r="P24">
            <v>5.0142317382407219E-4</v>
          </cell>
          <cell r="Q24">
            <v>8.3796055835230613E-4</v>
          </cell>
          <cell r="R24">
            <v>9.6019887700647517E-6</v>
          </cell>
          <cell r="S24">
            <v>1.6769176018504737E-4</v>
          </cell>
          <cell r="T24">
            <v>4.6064218448748978E-4</v>
          </cell>
          <cell r="U24">
            <v>3.9009982464532916E-4</v>
          </cell>
          <cell r="V24">
            <v>4.671421822640542E-4</v>
          </cell>
          <cell r="W24">
            <v>9.4306520292303101E-4</v>
          </cell>
          <cell r="X24">
            <v>1.0936688633572137E-3</v>
          </cell>
          <cell r="Y24">
            <v>2.0306790265020888E-3</v>
          </cell>
          <cell r="Z24">
            <v>7.9022162929330531E-4</v>
          </cell>
          <cell r="AA24">
            <v>2.1735414629711343E-3</v>
          </cell>
          <cell r="AB24">
            <v>1.8956706470841225E-3</v>
          </cell>
          <cell r="AC24">
            <v>2.7497629290021389E-3</v>
          </cell>
          <cell r="AD24">
            <v>2.865037633358148E-3</v>
          </cell>
          <cell r="AE24">
            <v>3.6578944548841903E-3</v>
          </cell>
          <cell r="AF24">
            <v>4.1464487558435549E-3</v>
          </cell>
          <cell r="AG24">
            <v>5.942729764413607E-3</v>
          </cell>
          <cell r="AH24">
            <v>6.3918498395233742E-3</v>
          </cell>
          <cell r="AI24">
            <v>7.4096864242317421E-3</v>
          </cell>
          <cell r="AJ24">
            <v>1.3670748323768739E-2</v>
          </cell>
          <cell r="AK24">
            <v>2.7466371606179044E-2</v>
          </cell>
          <cell r="AL24">
            <v>3.8320462055985494E-2</v>
          </cell>
          <cell r="AM24">
            <v>5.1632798523127042E-2</v>
          </cell>
          <cell r="AN24">
            <v>0.10361961617171882</v>
          </cell>
          <cell r="AO24">
            <v>6.6698501070034971E-2</v>
          </cell>
          <cell r="AP24">
            <v>9.673306793482031E-2</v>
          </cell>
          <cell r="AQ24">
            <v>0.11212770584363579</v>
          </cell>
          <cell r="AR24">
            <v>6.5443386135811105E-2</v>
          </cell>
          <cell r="AS24">
            <v>7.9479050653020786E-2</v>
          </cell>
          <cell r="AT24">
            <v>5.9246256751214046E-2</v>
          </cell>
          <cell r="AU24">
            <v>7.3276819336259805E-2</v>
          </cell>
          <cell r="AV24">
            <v>2.8292386611965172E-2</v>
          </cell>
          <cell r="AW24">
            <v>3.7674511695370234E-2</v>
          </cell>
          <cell r="AX24">
            <v>2.167116802684475E-2</v>
          </cell>
          <cell r="AY24">
            <v>2.1561168180904103E-2</v>
          </cell>
          <cell r="AZ24">
            <v>1.5911375925927104E-2</v>
          </cell>
          <cell r="BA24">
            <v>1.0499819746413806E-2</v>
          </cell>
          <cell r="BB24">
            <v>5.7025258686696154E-3</v>
          </cell>
          <cell r="BC24">
            <v>7.0634862255482501E-3</v>
          </cell>
          <cell r="BD24">
            <v>4.5252317352410445E-3</v>
          </cell>
          <cell r="BE24">
            <v>3.7563297797026151E-3</v>
          </cell>
          <cell r="BF24">
            <v>2.9057015893849689E-3</v>
          </cell>
          <cell r="BG24">
            <v>1.7150958740076686E-3</v>
          </cell>
          <cell r="BH24">
            <v>1.9131690226814205E-3</v>
          </cell>
          <cell r="BI24">
            <v>1.9169001078678527E-3</v>
          </cell>
          <cell r="BJ24">
            <v>6.6536727626537141E-4</v>
          </cell>
          <cell r="BK24">
            <v>4.1418161404902312E-4</v>
          </cell>
          <cell r="BL24">
            <v>2.0295004423184166E-4</v>
          </cell>
          <cell r="BM24">
            <v>7.0843243930406309E-5</v>
          </cell>
          <cell r="BN24">
            <v>5.5681664971620198E-5</v>
          </cell>
          <cell r="BO24">
            <v>1.2223091960210639E-5</v>
          </cell>
          <cell r="BP24">
            <v>1.0830565542237611E-5</v>
          </cell>
          <cell r="BQ24">
            <v>3.0780154642209068E-6</v>
          </cell>
          <cell r="BR24">
            <v>3.6080133952729115E-6</v>
          </cell>
          <cell r="BS24">
            <v>1.5458203026644216E-6</v>
          </cell>
          <cell r="BT24">
            <v>9.1903963520703614E-7</v>
          </cell>
          <cell r="BU24">
            <v>4.788198524027199E-7</v>
          </cell>
          <cell r="BV24">
            <v>1.6085816257499418E-7</v>
          </cell>
          <cell r="BW24">
            <v>1.1560000337644943E-7</v>
          </cell>
          <cell r="BX24">
            <v>6.0350472038112654E-9</v>
          </cell>
          <cell r="BY24">
            <v>5.2930064832954279E-10</v>
          </cell>
        </row>
        <row r="25">
          <cell r="B25">
            <v>3.7674298512676346E-6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1.4306222663995193E-7</v>
          </cell>
          <cell r="H25">
            <v>0</v>
          </cell>
          <cell r="I25">
            <v>1.7970041501854156E-6</v>
          </cell>
          <cell r="J25">
            <v>0</v>
          </cell>
          <cell r="K25">
            <v>1.3194360054681214E-7</v>
          </cell>
          <cell r="L25">
            <v>0</v>
          </cell>
          <cell r="M25">
            <v>2.0958346512102098E-6</v>
          </cell>
          <cell r="N25">
            <v>6.7269223113926041E-6</v>
          </cell>
          <cell r="O25">
            <v>4.8117686314170837E-6</v>
          </cell>
          <cell r="P25">
            <v>1.807343382175709E-5</v>
          </cell>
          <cell r="Q25">
            <v>3.1206755850632381E-5</v>
          </cell>
          <cell r="R25">
            <v>3.4713235374811736E-7</v>
          </cell>
          <cell r="S25">
            <v>6.4847727872841074E-6</v>
          </cell>
          <cell r="T25">
            <v>1.9664591347088254E-5</v>
          </cell>
          <cell r="U25">
            <v>1.8470202003739498E-5</v>
          </cell>
          <cell r="V25">
            <v>2.4427697440863717E-5</v>
          </cell>
          <cell r="W25">
            <v>5.4387433113521928E-5</v>
          </cell>
          <cell r="X25">
            <v>6.930636932762163E-5</v>
          </cell>
          <cell r="Y25">
            <v>1.4142815032886476E-4</v>
          </cell>
          <cell r="Z25">
            <v>6.0381932171426722E-5</v>
          </cell>
          <cell r="AA25">
            <v>1.8249974404878409E-4</v>
          </cell>
          <cell r="AB25">
            <v>1.7535004992161391E-4</v>
          </cell>
          <cell r="AC25">
            <v>2.8230454050905303E-4</v>
          </cell>
          <cell r="AD25">
            <v>3.2675631805192544E-4</v>
          </cell>
          <cell r="AE25">
            <v>4.6446361408502716E-4</v>
          </cell>
          <cell r="AF25">
            <v>5.8709112173026083E-4</v>
          </cell>
          <cell r="AG25">
            <v>9.3886281676263783E-4</v>
          </cell>
          <cell r="AH25">
            <v>1.1269398521169907E-3</v>
          </cell>
          <cell r="AI25">
            <v>1.4680676469114042E-3</v>
          </cell>
          <cell r="AJ25">
            <v>3.0470446164771892E-3</v>
          </cell>
          <cell r="AK25">
            <v>6.9246769944609236E-3</v>
          </cell>
          <cell r="AL25">
            <v>1.090238248489666E-2</v>
          </cell>
          <cell r="AM25">
            <v>1.6694468811857634E-2</v>
          </cell>
          <cell r="AN25">
            <v>3.8062870351501903E-2</v>
          </cell>
          <cell r="AO25">
            <v>2.8019805392335152E-2</v>
          </cell>
          <cell r="AP25">
            <v>4.6696434468713417E-2</v>
          </cell>
          <cell r="AQ25">
            <v>6.1917478927077364E-2</v>
          </cell>
          <cell r="AR25">
            <v>4.1771965510215579E-2</v>
          </cell>
          <cell r="AS25">
            <v>5.8696653525334631E-2</v>
          </cell>
          <cell r="AT25">
            <v>5.0659556193358976E-2</v>
          </cell>
          <cell r="AU25">
            <v>7.3191399652530742E-2</v>
          </cell>
          <cell r="AV25">
            <v>3.323979057315693E-2</v>
          </cell>
          <cell r="AW25">
            <v>5.1887696977223216E-2</v>
          </cell>
          <cell r="AX25">
            <v>3.5147594095258354E-2</v>
          </cell>
          <cell r="AY25">
            <v>4.1684579134054822E-2</v>
          </cell>
          <cell r="AZ25">
            <v>3.6335726888858895E-2</v>
          </cell>
          <cell r="BA25">
            <v>2.8642666479947915E-2</v>
          </cell>
          <cell r="BB25">
            <v>1.8607417430657049E-2</v>
          </cell>
          <cell r="BC25">
            <v>2.774960511260716E-2</v>
          </cell>
          <cell r="BD25">
            <v>2.1621370288315674E-2</v>
          </cell>
          <cell r="BE25">
            <v>2.1955117286496118E-2</v>
          </cell>
          <cell r="BF25">
            <v>2.0754184815117413E-2</v>
          </cell>
          <cell r="BG25">
            <v>1.5085535970602793E-2</v>
          </cell>
          <cell r="BH25">
            <v>2.1884362953940285E-2</v>
          </cell>
          <cell r="BI25">
            <v>3.2651534714234161E-2</v>
          </cell>
          <cell r="BJ25">
            <v>1.8506437236919308E-2</v>
          </cell>
          <cell r="BK25">
            <v>1.9049719664007113E-2</v>
          </cell>
          <cell r="BL25">
            <v>1.5945261838663429E-2</v>
          </cell>
          <cell r="BM25">
            <v>9.6411898078889932E-3</v>
          </cell>
          <cell r="BN25">
            <v>1.3164212741508382E-2</v>
          </cell>
          <cell r="BO25">
            <v>5.1833305202270532E-3</v>
          </cell>
          <cell r="BP25">
            <v>8.2760162803749652E-3</v>
          </cell>
          <cell r="BQ25">
            <v>4.3327623607441598E-3</v>
          </cell>
          <cell r="BR25">
            <v>9.2619295773895636E-3</v>
          </cell>
          <cell r="BS25">
            <v>7.3056075563093315E-3</v>
          </cell>
          <cell r="BT25">
            <v>8.424332376005518E-3</v>
          </cell>
          <cell r="BU25">
            <v>8.9809997422268008E-3</v>
          </cell>
          <cell r="BV25">
            <v>6.0495758484892959E-3</v>
          </cell>
          <cell r="BW25">
            <v>1.1127642149844102E-2</v>
          </cell>
          <cell r="BX25">
            <v>2.8497986927071136E-3</v>
          </cell>
          <cell r="BY25">
            <v>2.0532758173566921E-3</v>
          </cell>
        </row>
        <row r="26">
          <cell r="B26">
            <v>3.090439523538325E-6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1.1449158255171915E-7</v>
          </cell>
          <cell r="H26">
            <v>0</v>
          </cell>
          <cell r="I26">
            <v>1.4574025137909102E-6</v>
          </cell>
          <cell r="J26">
            <v>0</v>
          </cell>
          <cell r="K26">
            <v>1.0711149600127061E-7</v>
          </cell>
          <cell r="L26">
            <v>0</v>
          </cell>
          <cell r="M26">
            <v>1.7186994317873206E-6</v>
          </cell>
          <cell r="N26">
            <v>5.5676377668525436E-6</v>
          </cell>
          <cell r="O26">
            <v>3.9900825018307776E-6</v>
          </cell>
          <cell r="P26">
            <v>1.5135751732127679E-5</v>
          </cell>
          <cell r="Q26">
            <v>2.6155037444333861E-5</v>
          </cell>
          <cell r="R26">
            <v>2.9079892782093751E-7</v>
          </cell>
          <cell r="S26">
            <v>5.4440814293442744E-6</v>
          </cell>
          <cell r="T26">
            <v>1.6561802850243077E-5</v>
          </cell>
          <cell r="U26">
            <v>1.5610050121511601E-5</v>
          </cell>
          <cell r="V26">
            <v>2.0713787942566635E-5</v>
          </cell>
          <cell r="W26">
            <v>4.6274329213019744E-5</v>
          </cell>
          <cell r="X26">
            <v>5.9162611335185667E-5</v>
          </cell>
          <cell r="Y26">
            <v>1.211493793194878E-4</v>
          </cell>
          <cell r="Z26">
            <v>5.1912342821739116E-5</v>
          </cell>
          <cell r="AA26">
            <v>1.5752315150184662E-4</v>
          </cell>
          <cell r="AB26">
            <v>1.5192386608649995E-4</v>
          </cell>
          <cell r="AC26">
            <v>2.4555045764662142E-4</v>
          </cell>
          <cell r="AD26">
            <v>2.8530017202282708E-4</v>
          </cell>
          <cell r="AE26">
            <v>4.0712009231299337E-4</v>
          </cell>
          <cell r="AF26">
            <v>5.1675487150577165E-4</v>
          </cell>
          <cell r="AG26">
            <v>8.3014954615277586E-4</v>
          </cell>
          <cell r="AH26">
            <v>1.0008569967825268E-3</v>
          </cell>
          <cell r="AI26">
            <v>1.3096763831733282E-3</v>
          </cell>
          <cell r="AJ26">
            <v>2.7299798780511431E-3</v>
          </cell>
          <cell r="AK26">
            <v>6.2329648001712562E-3</v>
          </cell>
          <cell r="AL26">
            <v>9.8578711703085683E-3</v>
          </cell>
          <cell r="AM26">
            <v>1.5178317227538972E-2</v>
          </cell>
          <cell r="AN26">
            <v>3.4788657715979297E-2</v>
          </cell>
          <cell r="AO26">
            <v>2.5748284709928959E-2</v>
          </cell>
          <cell r="AP26">
            <v>4.3144760964149431E-2</v>
          </cell>
          <cell r="AQ26">
            <v>5.7487409446589643E-2</v>
          </cell>
          <cell r="AR26">
            <v>3.8996605980410978E-2</v>
          </cell>
          <cell r="AS26">
            <v>5.5101687349197542E-2</v>
          </cell>
          <cell r="AT26">
            <v>4.7823410545989348E-2</v>
          </cell>
          <cell r="AU26">
            <v>6.9545607851136226E-2</v>
          </cell>
          <cell r="AV26">
            <v>3.1812709784130061E-2</v>
          </cell>
          <cell r="AW26">
            <v>4.9971009903413473E-2</v>
          </cell>
          <cell r="AX26">
            <v>3.4057078334767801E-2</v>
          </cell>
          <cell r="AY26">
            <v>4.0658338486403586E-2</v>
          </cell>
          <cell r="AZ26">
            <v>3.5635960236664148E-2</v>
          </cell>
          <cell r="BA26">
            <v>2.8267494742826478E-2</v>
          </cell>
          <cell r="BB26">
            <v>1.847948694907928E-2</v>
          </cell>
          <cell r="BC26">
            <v>2.7750560048705766E-2</v>
          </cell>
          <cell r="BD26">
            <v>2.1781715675644957E-2</v>
          </cell>
          <cell r="BE26">
            <v>2.2297026757039672E-2</v>
          </cell>
          <cell r="BF26">
            <v>2.1237991908372562E-2</v>
          </cell>
          <cell r="BG26">
            <v>1.5559832091619034E-2</v>
          </cell>
          <cell r="BH26">
            <v>2.2790492738558005E-2</v>
          </cell>
          <cell r="BI26">
            <v>3.4543748551194624E-2</v>
          </cell>
          <cell r="BJ26">
            <v>2.0001136010903451E-2</v>
          </cell>
          <cell r="BK26">
            <v>2.1026187905957353E-2</v>
          </cell>
          <cell r="BL26">
            <v>1.799139028287898E-2</v>
          </cell>
          <cell r="BM26">
            <v>1.1106916232662334E-2</v>
          </cell>
          <cell r="BN26">
            <v>1.5449741035612034E-2</v>
          </cell>
          <cell r="BO26">
            <v>6.204315193642001E-3</v>
          </cell>
          <cell r="BP26">
            <v>1.0090678078888499E-2</v>
          </cell>
          <cell r="BQ26">
            <v>5.3849146359180198E-3</v>
          </cell>
          <cell r="BR26">
            <v>1.171108139222376E-2</v>
          </cell>
          <cell r="BS26">
            <v>9.3997659573249112E-3</v>
          </cell>
          <cell r="BT26">
            <v>1.1078254381690916E-2</v>
          </cell>
          <cell r="BU26">
            <v>1.2113022529849754E-2</v>
          </cell>
          <cell r="BV26">
            <v>8.3500221934083609E-3</v>
          </cell>
          <cell r="BW26">
            <v>1.5794552187204613E-2</v>
          </cell>
          <cell r="BX26">
            <v>4.2486244604951215E-3</v>
          </cell>
          <cell r="BY26">
            <v>3.2710822983300176E-3</v>
          </cell>
        </row>
        <row r="27">
          <cell r="B27">
            <v>2.5924064520749244E-6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9.4025787027615887E-8</v>
          </cell>
          <cell r="H27">
            <v>0</v>
          </cell>
          <cell r="I27">
            <v>1.2105679211270517E-6</v>
          </cell>
          <cell r="J27">
            <v>0</v>
          </cell>
          <cell r="K27">
            <v>8.905393023116786E-8</v>
          </cell>
          <cell r="L27">
            <v>0</v>
          </cell>
          <cell r="M27">
            <v>1.4411438040933895E-6</v>
          </cell>
          <cell r="N27">
            <v>4.7053196362070082E-6</v>
          </cell>
          <cell r="O27">
            <v>3.3775494409569292E-6</v>
          </cell>
          <cell r="P27">
            <v>1.2920320834041248E-5</v>
          </cell>
          <cell r="Q27">
            <v>2.2340835869436268E-5</v>
          </cell>
          <cell r="R27">
            <v>2.4827403517392647E-7</v>
          </cell>
          <cell r="S27">
            <v>4.6566680341923473E-6</v>
          </cell>
          <cell r="T27">
            <v>1.4205671370809611E-5</v>
          </cell>
          <cell r="U27">
            <v>1.3429345529401408E-5</v>
          </cell>
          <cell r="V27">
            <v>1.7870934905155408E-5</v>
          </cell>
          <cell r="W27">
            <v>4.0038578460655697E-5</v>
          </cell>
          <cell r="X27">
            <v>5.1334062197517942E-5</v>
          </cell>
          <cell r="Y27">
            <v>1.0542936666788644E-4</v>
          </cell>
          <cell r="Z27">
            <v>4.5315269116151736E-5</v>
          </cell>
          <cell r="AA27">
            <v>1.379638171634519E-4</v>
          </cell>
          <cell r="AB27">
            <v>1.3348429018108721E-4</v>
          </cell>
          <cell r="AC27">
            <v>2.1646481369827592E-4</v>
          </cell>
          <cell r="AD27">
            <v>2.523204627238917E-4</v>
          </cell>
          <cell r="AE27">
            <v>3.6124989632365496E-4</v>
          </cell>
          <cell r="AF27">
            <v>4.6014853475505275E-4</v>
          </cell>
          <cell r="AG27">
            <v>7.4204773204597616E-4</v>
          </cell>
          <cell r="AH27">
            <v>8.979684815109062E-4</v>
          </cell>
          <cell r="AI27">
            <v>1.1794961643449013E-3</v>
          </cell>
          <cell r="AJ27">
            <v>2.46755609462338E-3</v>
          </cell>
          <cell r="AK27">
            <v>5.6559290208165582E-3</v>
          </cell>
          <cell r="AL27">
            <v>8.9793769311687088E-3</v>
          </cell>
          <cell r="AM27">
            <v>1.3889627923809303E-2</v>
          </cell>
          <cell r="AN27">
            <v>3.1975815462503061E-2</v>
          </cell>
          <cell r="AO27">
            <v>2.3774112466323875E-2</v>
          </cell>
          <cell r="AP27">
            <v>4.0019334510803681E-2</v>
          </cell>
          <cell r="AQ27">
            <v>5.3541994859846141E-2</v>
          </cell>
          <cell r="AR27">
            <v>3.6488210692328243E-2</v>
          </cell>
          <cell r="AS27">
            <v>5.1798264282160576E-2</v>
          </cell>
          <cell r="AT27">
            <v>4.5167607834279463E-2</v>
          </cell>
          <cell r="AU27">
            <v>6.6042643419849126E-2</v>
          </cell>
          <cell r="AV27">
            <v>3.0392891284706441E-2</v>
          </cell>
          <cell r="AW27">
            <v>4.7990816227487042E-2</v>
          </cell>
          <cell r="AX27">
            <v>3.287573796607661E-2</v>
          </cell>
          <cell r="AY27">
            <v>3.9465686082668212E-2</v>
          </cell>
          <cell r="AZ27">
            <v>3.4750292784341705E-2</v>
          </cell>
          <cell r="BA27">
            <v>2.771016596482417E-2</v>
          </cell>
          <cell r="BB27">
            <v>1.8210827331567002E-2</v>
          </cell>
          <cell r="BC27">
            <v>2.7506085860680953E-2</v>
          </cell>
          <cell r="BD27">
            <v>2.1723080314711724E-2</v>
          </cell>
          <cell r="BE27">
            <v>2.2387103243557464E-2</v>
          </cell>
          <cell r="BF27">
            <v>2.1459273948661161E-2</v>
          </cell>
          <cell r="BG27">
            <v>1.5826074181298059E-2</v>
          </cell>
          <cell r="BH27">
            <v>2.336719139519558E-2</v>
          </cell>
          <cell r="BI27">
            <v>3.5885837052379341E-2</v>
          </cell>
          <cell r="BJ27">
            <v>2.114949833830488E-2</v>
          </cell>
          <cell r="BK27">
            <v>2.2624997782072248E-2</v>
          </cell>
          <cell r="BL27">
            <v>1.9716380171169372E-2</v>
          </cell>
          <cell r="BM27">
            <v>1.2383859171082359E-2</v>
          </cell>
          <cell r="BN27">
            <v>1.749411744084137E-2</v>
          </cell>
          <cell r="BO27">
            <v>7.1414935706834272E-3</v>
          </cell>
          <cell r="BP27">
            <v>1.1794962012891397E-2</v>
          </cell>
          <cell r="BQ27">
            <v>6.3957289125623823E-3</v>
          </cell>
          <cell r="BR27">
            <v>1.4111079759412573E-2</v>
          </cell>
          <cell r="BS27">
            <v>1.1492212875736978E-2</v>
          </cell>
          <cell r="BT27">
            <v>1.3792379325096067E-2</v>
          </cell>
          <cell r="BU27">
            <v>1.5401202739705945E-2</v>
          </cell>
          <cell r="BV27">
            <v>1.0822771551764252E-2</v>
          </cell>
          <cell r="BW27">
            <v>2.0955107971164538E-2</v>
          </cell>
          <cell r="BX27">
            <v>5.8722270677057948E-3</v>
          </cell>
          <cell r="BY27">
            <v>4.7780005863991351E-3</v>
          </cell>
        </row>
        <row r="28">
          <cell r="B28">
            <v>2.2228921358518762E-6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7.920428809896885E-8</v>
          </cell>
          <cell r="H28">
            <v>0</v>
          </cell>
          <cell r="I28">
            <v>1.0294716001114318E-6</v>
          </cell>
          <cell r="J28">
            <v>0</v>
          </cell>
          <cell r="K28">
            <v>7.5794587437789715E-8</v>
          </cell>
          <cell r="L28">
            <v>0</v>
          </cell>
          <cell r="M28">
            <v>1.2352414321779589E-6</v>
          </cell>
          <cell r="N28">
            <v>4.0595523130421875E-6</v>
          </cell>
          <cell r="O28">
            <v>2.917943371042341E-6</v>
          </cell>
          <cell r="P28">
            <v>1.1240728547800294E-5</v>
          </cell>
          <cell r="Q28">
            <v>1.9446579631891356E-5</v>
          </cell>
          <cell r="R28">
            <v>2.1601950721098043E-7</v>
          </cell>
          <cell r="S28">
            <v>4.0580925571540687E-6</v>
          </cell>
          <cell r="T28">
            <v>1.2408513710617739E-5</v>
          </cell>
          <cell r="U28">
            <v>1.1759779767996108E-5</v>
          </cell>
          <cell r="V28">
            <v>1.5686545616527763E-5</v>
          </cell>
          <cell r="W28">
            <v>3.5229330341846912E-5</v>
          </cell>
          <cell r="X28">
            <v>4.5274097713880194E-5</v>
          </cell>
          <cell r="Y28">
            <v>9.3212588229670134E-5</v>
          </cell>
          <cell r="Z28">
            <v>4.0166791448627936E-5</v>
          </cell>
          <cell r="AA28">
            <v>1.2262804570621841E-4</v>
          </cell>
          <cell r="AB28">
            <v>1.1896131044397798E-4</v>
          </cell>
          <cell r="AC28">
            <v>1.9344823660603263E-4</v>
          </cell>
          <cell r="AD28">
            <v>2.2609995897002785E-4</v>
          </cell>
          <cell r="AE28">
            <v>3.2460239999054064E-4</v>
          </cell>
          <cell r="AF28">
            <v>4.1468126873566005E-4</v>
          </cell>
          <cell r="AG28">
            <v>6.7085597698136206E-4</v>
          </cell>
          <cell r="AH28">
            <v>8.1432842239383943E-4</v>
          </cell>
          <cell r="AI28">
            <v>1.0730081582012842E-3</v>
          </cell>
          <cell r="AJ28">
            <v>2.2515709143877292E-3</v>
          </cell>
          <cell r="AK28">
            <v>5.1777326098904229E-3</v>
          </cell>
          <cell r="AL28">
            <v>8.2462475670404926E-3</v>
          </cell>
          <cell r="AM28">
            <v>1.2804552300613989E-2</v>
          </cell>
          <cell r="AN28">
            <v>2.9586066262268843E-2</v>
          </cell>
          <cell r="AO28">
            <v>2.2080499033517002E-2</v>
          </cell>
          <cell r="AP28">
            <v>3.7310045184536171E-2</v>
          </cell>
          <cell r="AQ28">
            <v>5.0087728424256614E-2</v>
          </cell>
          <cell r="AR28">
            <v>3.4265443986509408E-2</v>
          </cell>
          <cell r="AS28">
            <v>4.8831776462744385E-2</v>
          </cell>
          <cell r="AT28">
            <v>4.2747094613580526E-2</v>
          </cell>
          <cell r="AU28">
            <v>6.2787046941022509E-2</v>
          </cell>
          <cell r="AV28">
            <v>2.9039469303041826E-2</v>
          </cell>
          <cell r="AW28">
            <v>4.6053123550109175E-2</v>
          </cell>
          <cell r="AX28">
            <v>3.1683197932528891E-2</v>
          </cell>
          <cell r="AY28">
            <v>3.8209518592438201E-2</v>
          </cell>
          <cell r="AZ28">
            <v>3.3773470814680816E-2</v>
          </cell>
          <cell r="BA28">
            <v>2.7049273601968307E-2</v>
          </cell>
          <cell r="BB28">
            <v>1.7854589552772287E-2</v>
          </cell>
          <cell r="BC28">
            <v>2.7098268413003279E-2</v>
          </cell>
          <cell r="BD28">
            <v>2.1510820567069645E-2</v>
          </cell>
          <cell r="BE28">
            <v>2.2292616486423014E-2</v>
          </cell>
          <cell r="BF28">
            <v>2.1481499741988753E-2</v>
          </cell>
          <cell r="BG28">
            <v>1.5929649218911976E-2</v>
          </cell>
          <cell r="BH28">
            <v>2.3677621535168818E-2</v>
          </cell>
          <cell r="BI28">
            <v>3.676161809708256E-2</v>
          </cell>
          <cell r="BJ28">
            <v>2.1986843439504768E-2</v>
          </cell>
          <cell r="BK28">
            <v>2.3864722380978708E-2</v>
          </cell>
          <cell r="BL28">
            <v>2.1115471265063846E-2</v>
          </cell>
          <cell r="BM28">
            <v>1.3454991135617728E-2</v>
          </cell>
          <cell r="BN28">
            <v>1.9254118165928917E-2</v>
          </cell>
          <cell r="BO28">
            <v>7.9685774505342376E-3</v>
          </cell>
          <cell r="BP28">
            <v>1.3331780922266202E-2</v>
          </cell>
          <cell r="BQ28">
            <v>7.3266085261002858E-3</v>
          </cell>
          <cell r="BR28">
            <v>1.6361856137404651E-2</v>
          </cell>
          <cell r="BS28">
            <v>1.348971374587658E-2</v>
          </cell>
          <cell r="BT28">
            <v>1.6438885578743647E-2</v>
          </cell>
          <cell r="BU28">
            <v>1.8684775202632235E-2</v>
          </cell>
          <cell r="BV28">
            <v>1.3345291233824105E-2</v>
          </cell>
          <cell r="BW28">
            <v>2.6355699250396956E-2</v>
          </cell>
          <cell r="BX28">
            <v>7.6473399497542938E-3</v>
          </cell>
          <cell r="BY28">
            <v>6.5238509629875251E-3</v>
          </cell>
        </row>
        <row r="29">
          <cell r="B29">
            <v>5.1351539563308138E-2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2.3865531695520869E-5</v>
          </cell>
          <cell r="H29">
            <v>0</v>
          </cell>
          <cell r="I29">
            <v>2.1213362737624667E-4</v>
          </cell>
          <cell r="J29">
            <v>0</v>
          </cell>
          <cell r="K29">
            <v>1.403992963025738E-5</v>
          </cell>
          <cell r="L29">
            <v>0</v>
          </cell>
          <cell r="M29">
            <v>1.8996545666823632E-4</v>
          </cell>
          <cell r="N29">
            <v>4.9773792469423323E-4</v>
          </cell>
          <cell r="O29">
            <v>3.3566441033226052E-4</v>
          </cell>
          <cell r="P29">
            <v>1.0154537881953384E-3</v>
          </cell>
          <cell r="Q29">
            <v>1.71713557026841E-3</v>
          </cell>
          <cell r="R29">
            <v>1.965197421701576E-5</v>
          </cell>
          <cell r="S29">
            <v>3.4600218226751416E-4</v>
          </cell>
          <cell r="T29">
            <v>9.6434236572829138E-4</v>
          </cell>
          <cell r="U29">
            <v>8.3100310352002943E-4</v>
          </cell>
          <cell r="V29">
            <v>1.0139276561946342E-3</v>
          </cell>
          <cell r="W29">
            <v>2.0891205615893478E-3</v>
          </cell>
          <cell r="X29">
            <v>2.4772925433608046E-3</v>
          </cell>
          <cell r="Y29">
            <v>4.7156013058548473E-3</v>
          </cell>
          <cell r="Z29">
            <v>1.8862952580098607E-3</v>
          </cell>
          <cell r="AA29">
            <v>5.3531205410777957E-3</v>
          </cell>
          <cell r="AB29">
            <v>4.8397653926833383E-3</v>
          </cell>
          <cell r="AC29">
            <v>7.3167648120164774E-3</v>
          </cell>
          <cell r="AD29">
            <v>7.9661296161374663E-3</v>
          </cell>
          <cell r="AE29">
            <v>1.062403456045323E-2</v>
          </cell>
          <cell r="AF29">
            <v>1.2495368647861429E-2</v>
          </cell>
          <cell r="AG29">
            <v>1.8317573656080471E-2</v>
          </cell>
          <cell r="AH29">
            <v>1.9726531221473879E-2</v>
          </cell>
          <cell r="AI29">
            <v>2.2202999853015045E-2</v>
          </cell>
          <cell r="AJ29">
            <v>3.8437354233245444E-2</v>
          </cell>
          <cell r="AK29">
            <v>6.9744717818156388E-2</v>
          </cell>
          <cell r="AL29">
            <v>8.5266066714682329E-2</v>
          </cell>
          <cell r="AM29">
            <v>9.7219343279745921E-2</v>
          </cell>
          <cell r="AN29">
            <v>0.16096159229987511</v>
          </cell>
          <cell r="AO29">
            <v>8.2723810842132428E-2</v>
          </cell>
          <cell r="AP29">
            <v>9.3019749897787107E-2</v>
          </cell>
          <cell r="AQ29">
            <v>8.2647850490088853E-2</v>
          </cell>
          <cell r="AR29">
            <v>3.5770650736615894E-2</v>
          </cell>
          <cell r="AS29">
            <v>3.1788586351900426E-2</v>
          </cell>
          <cell r="AT29">
            <v>1.717596593305171E-2</v>
          </cell>
          <cell r="AU29">
            <v>1.5104511479752274E-2</v>
          </cell>
          <cell r="AV29">
            <v>4.0934821136593708E-3</v>
          </cell>
          <cell r="AW29">
            <v>3.8398863886940069E-3</v>
          </cell>
          <cell r="AX29">
            <v>1.5460201634009039E-3</v>
          </cell>
          <cell r="AY29">
            <v>1.0575039836642521E-3</v>
          </cell>
          <cell r="AZ29">
            <v>5.4747027092602769E-4</v>
          </cell>
          <cell r="BA29">
            <v>2.5082810585180516E-4</v>
          </cell>
          <cell r="BB29">
            <v>9.5281587192501123E-5</v>
          </cell>
          <cell r="BC29">
            <v>8.2738999124440103E-5</v>
          </cell>
          <cell r="BD29">
            <v>3.7105186994196858E-5</v>
          </cell>
          <cell r="BE29">
            <v>2.1765670261923264E-5</v>
          </cell>
          <cell r="BF29">
            <v>1.2110438201170893E-5</v>
          </cell>
          <cell r="BG29">
            <v>5.1925569042543043E-6</v>
          </cell>
          <cell r="BH29">
            <v>3.9901609659942796E-6</v>
          </cell>
          <cell r="BI29">
            <v>2.4643928741694238E-6</v>
          </cell>
          <cell r="BJ29">
            <v>5.3579286562562613E-7</v>
          </cell>
          <cell r="BK29">
            <v>2.3132077231085485E-7</v>
          </cell>
          <cell r="BL29">
            <v>8.5399026806123093E-8</v>
          </cell>
          <cell r="BM29">
            <v>2.3920150640949963E-8</v>
          </cell>
          <cell r="BN29">
            <v>1.567315440777306E-8</v>
          </cell>
          <cell r="BO29">
            <v>2.9446735936094489E-9</v>
          </cell>
          <cell r="BP29">
            <v>2.2594483098711081E-9</v>
          </cell>
          <cell r="BQ29">
            <v>5.6075540704677844E-10</v>
          </cell>
          <cell r="BR29">
            <v>5.7410582955111072E-10</v>
          </cell>
          <cell r="BS29">
            <v>2.1536396668366066E-10</v>
          </cell>
          <cell r="BT29">
            <v>1.1286341537498533E-10</v>
          </cell>
          <cell r="BU29">
            <v>5.2154282147925813E-11</v>
          </cell>
          <cell r="BV29">
            <v>1.5506351669455368E-11</v>
          </cell>
          <cell r="BW29">
            <v>9.312640546741972E-12</v>
          </cell>
          <cell r="BX29">
            <v>3.6514591500337107E-13</v>
          </cell>
          <cell r="BY29">
            <v>2.2447568851356389E-14</v>
          </cell>
        </row>
        <row r="30">
          <cell r="B30">
            <v>7.5411979449325997E-2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4.2945611179393993E-7</v>
          </cell>
          <cell r="H30">
            <v>0</v>
          </cell>
          <cell r="I30">
            <v>6.3200010485797213E-6</v>
          </cell>
          <cell r="J30">
            <v>0</v>
          </cell>
          <cell r="K30">
            <v>4.9400319494260759E-7</v>
          </cell>
          <cell r="L30">
            <v>0</v>
          </cell>
          <cell r="M30">
            <v>8.2491887418365927E-6</v>
          </cell>
          <cell r="N30">
            <v>2.8624996726040979E-5</v>
          </cell>
          <cell r="O30">
            <v>2.120259215502127E-5</v>
          </cell>
          <cell r="P30">
            <v>8.6397042118273963E-5</v>
          </cell>
          <cell r="Q30">
            <v>1.5310875123907984E-4</v>
          </cell>
          <cell r="R30">
            <v>1.6968804986588525E-6</v>
          </cell>
          <cell r="S30">
            <v>3.2293005026352433E-5</v>
          </cell>
          <cell r="T30">
            <v>1.0109922751822068E-4</v>
          </cell>
          <cell r="U30">
            <v>9.8497361387664832E-5</v>
          </cell>
          <cell r="V30">
            <v>1.3525982043357314E-4</v>
          </cell>
          <cell r="W30">
            <v>3.1310539962247887E-4</v>
          </cell>
          <cell r="X30">
            <v>4.1537909853941486E-4</v>
          </cell>
          <cell r="Y30">
            <v>8.8431384357954244E-4</v>
          </cell>
          <cell r="Z30">
            <v>3.9459624025689564E-4</v>
          </cell>
          <cell r="AA30">
            <v>1.2502037027844113E-3</v>
          </cell>
          <cell r="AB30">
            <v>1.2651728617656135E-3</v>
          </cell>
          <cell r="AC30">
            <v>2.1560944905998536E-3</v>
          </cell>
          <cell r="AD30">
            <v>2.6458792918974605E-3</v>
          </cell>
          <cell r="AE30">
            <v>3.9803909483800744E-3</v>
          </cell>
          <cell r="AF30">
            <v>5.2764047735407906E-3</v>
          </cell>
          <cell r="AG30">
            <v>8.6965242142862734E-3</v>
          </cell>
          <cell r="AH30">
            <v>1.050324890152291E-2</v>
          </cell>
          <cell r="AI30">
            <v>1.329579936679862E-2</v>
          </cell>
          <cell r="AJ30">
            <v>2.580037395680012E-2</v>
          </cell>
          <cell r="AK30">
            <v>5.2399182127589705E-2</v>
          </cell>
          <cell r="AL30">
            <v>7.1170525206520605E-2</v>
          </cell>
          <cell r="AM30">
            <v>8.9766997417745908E-2</v>
          </cell>
          <cell r="AN30">
            <v>0.16303412490686392</v>
          </cell>
          <cell r="AO30">
            <v>9.1418916417070145E-2</v>
          </cell>
          <cell r="AP30">
            <v>0.11129835335087539</v>
          </cell>
          <cell r="AQ30">
            <v>0.1057879860877356</v>
          </cell>
          <cell r="AR30">
            <v>4.8665087280933945E-2</v>
          </cell>
          <cell r="AS30">
            <v>4.5513533846440468E-2</v>
          </cell>
          <cell r="AT30">
            <v>2.5652439389408505E-2</v>
          </cell>
          <cell r="AU30">
            <v>2.3370436227558234E-2</v>
          </cell>
          <cell r="AV30">
            <v>6.5185711189989165E-3</v>
          </cell>
          <cell r="AW30">
            <v>6.2573327943404996E-3</v>
          </cell>
          <cell r="AX30">
            <v>2.5673674387592716E-3</v>
          </cell>
          <cell r="AY30">
            <v>1.7842548884687873E-3</v>
          </cell>
          <cell r="AZ30">
            <v>9.3588712523996341E-4</v>
          </cell>
          <cell r="BA30">
            <v>4.3366991373273804E-4</v>
          </cell>
          <cell r="BB30">
            <v>1.6639629300725574E-4</v>
          </cell>
          <cell r="BC30">
            <v>1.4581130318990317E-4</v>
          </cell>
          <cell r="BD30">
            <v>6.5952956703435258E-5</v>
          </cell>
          <cell r="BE30">
            <v>3.9004835275482625E-5</v>
          </cell>
          <cell r="BF30">
            <v>2.1882027642539077E-5</v>
          </cell>
          <cell r="BG30">
            <v>9.4606793149832401E-6</v>
          </cell>
          <cell r="BH30">
            <v>7.3479582443647438E-6</v>
          </cell>
          <cell r="BI30">
            <v>4.6075501482137485E-6</v>
          </cell>
          <cell r="BJ30">
            <v>1.0193576552068477E-6</v>
          </cell>
          <cell r="BK30">
            <v>4.4839629131778708E-7</v>
          </cell>
          <cell r="BL30">
            <v>1.6883311539784511E-7</v>
          </cell>
          <cell r="BM30">
            <v>4.8317156619464813E-8</v>
          </cell>
          <cell r="BN30">
            <v>3.2409443836590687E-8</v>
          </cell>
          <cell r="BO30">
            <v>6.2371734259267534E-9</v>
          </cell>
          <cell r="BP30">
            <v>4.9073900033617852E-9</v>
          </cell>
          <cell r="BQ30">
            <v>1.2492958715410441E-9</v>
          </cell>
          <cell r="BR30">
            <v>1.3130015068027985E-9</v>
          </cell>
          <cell r="BS30">
            <v>5.0568777195331725E-10</v>
          </cell>
          <cell r="BT30">
            <v>2.7204391312989543E-10</v>
          </cell>
          <cell r="BU30">
            <v>1.2900842057170298E-10</v>
          </cell>
          <cell r="BV30">
            <v>3.9375374559665384E-11</v>
          </cell>
          <cell r="BW30">
            <v>2.4558913000433982E-11</v>
          </cell>
          <cell r="BX30">
            <v>1.0246347618915331E-12</v>
          </cell>
          <cell r="BY30">
            <v>6.8241576469625673E-14</v>
          </cell>
        </row>
        <row r="31">
          <cell r="B31">
            <v>0.13543166265846551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9.861993326144698E-9</v>
          </cell>
          <cell r="H31">
            <v>0</v>
          </cell>
          <cell r="I31">
            <v>2.3432519254420092E-7</v>
          </cell>
          <cell r="J31">
            <v>0</v>
          </cell>
          <cell r="K31">
            <v>2.1413270633500737E-8</v>
          </cell>
          <cell r="L31">
            <v>0</v>
          </cell>
          <cell r="M31">
            <v>4.3663523283463909E-7</v>
          </cell>
          <cell r="N31">
            <v>1.973077424480709E-6</v>
          </cell>
          <cell r="O31">
            <v>1.5939764612491075E-6</v>
          </cell>
          <cell r="P31">
            <v>8.5678849953771656E-6</v>
          </cell>
          <cell r="Q31">
            <v>1.5834070167526867E-5</v>
          </cell>
          <cell r="R31">
            <v>1.7025679555356646E-7</v>
          </cell>
          <cell r="S31">
            <v>3.4825109382566825E-6</v>
          </cell>
          <cell r="T31">
            <v>1.2133433019830939E-5</v>
          </cell>
          <cell r="U31">
            <v>1.3223227752842671E-5</v>
          </cell>
          <cell r="V31">
            <v>2.0212862784133162E-5</v>
          </cell>
          <cell r="W31">
            <v>5.1962222925240477E-5</v>
          </cell>
          <cell r="X31">
            <v>7.6210677251233763E-5</v>
          </cell>
          <cell r="Y31">
            <v>1.7920113276640779E-4</v>
          </cell>
          <cell r="Z31">
            <v>8.8056002133295668E-5</v>
          </cell>
          <cell r="AA31">
            <v>3.072549081876404E-4</v>
          </cell>
          <cell r="AB31">
            <v>3.4296556213615016E-4</v>
          </cell>
          <cell r="AC31">
            <v>6.4824028446842561E-4</v>
          </cell>
          <cell r="AD31">
            <v>8.8151876806298569E-4</v>
          </cell>
          <cell r="AE31">
            <v>1.4695078421197115E-3</v>
          </cell>
          <cell r="AF31">
            <v>2.1558906946386939E-3</v>
          </cell>
          <cell r="AG31">
            <v>3.9229230971141085E-3</v>
          </cell>
          <cell r="AH31">
            <v>5.218197536167422E-3</v>
          </cell>
          <cell r="AI31">
            <v>7.2934922105429845E-3</v>
          </cell>
          <cell r="AJ31">
            <v>1.5587966780095108E-2</v>
          </cell>
          <cell r="AK31">
            <v>3.4859035579196E-2</v>
          </cell>
          <cell r="AL31">
            <v>5.1859846192373604E-2</v>
          </cell>
          <cell r="AM31">
            <v>7.1544914799941267E-2</v>
          </cell>
          <cell r="AN31">
            <v>0.14141604590877085</v>
          </cell>
          <cell r="AO31">
            <v>8.6165730149929232E-2</v>
          </cell>
          <cell r="AP31">
            <v>0.1136176982751194</v>
          </cell>
          <cell r="AQ31">
            <v>0.11603885188148222</v>
          </cell>
          <cell r="AR31">
            <v>5.7261983520530364E-2</v>
          </cell>
          <cell r="AS31">
            <v>5.7093525202273877E-2</v>
          </cell>
          <cell r="AT31">
            <v>3.4100248231128533E-2</v>
          </cell>
          <cell r="AU31">
            <v>3.2794319100421895E-2</v>
          </cell>
          <cell r="AV31">
            <v>9.6102412763539573E-3</v>
          </cell>
          <cell r="AW31">
            <v>9.6314314566444768E-3</v>
          </cell>
          <cell r="AX31">
            <v>4.1075004323312993E-3</v>
          </cell>
          <cell r="AY31">
            <v>2.9578713693711651E-3</v>
          </cell>
          <cell r="AZ31">
            <v>1.5980140874691387E-3</v>
          </cell>
          <cell r="BA31">
            <v>7.6045649342342577E-4</v>
          </cell>
          <cell r="BB31">
            <v>2.9853239438899131E-4</v>
          </cell>
          <cell r="BC31">
            <v>2.6686671125279607E-4</v>
          </cell>
          <cell r="BD31">
            <v>1.2284733624093498E-4</v>
          </cell>
          <cell r="BE31">
            <v>7.3757503835229226E-5</v>
          </cell>
          <cell r="BF31">
            <v>4.1915766213934457E-5</v>
          </cell>
          <cell r="BG31">
            <v>1.8328857204843791E-5</v>
          </cell>
          <cell r="BH31">
            <v>1.4409758141549001E-5</v>
          </cell>
          <cell r="BI31">
            <v>9.1664336802918073E-6</v>
          </cell>
          <cell r="BJ31">
            <v>2.0550205260415211E-6</v>
          </cell>
          <cell r="BK31">
            <v>9.1426361349846546E-7</v>
          </cell>
          <cell r="BL31">
            <v>3.4781391584914312E-7</v>
          </cell>
          <cell r="BM31">
            <v>1.0055328921641989E-7</v>
          </cell>
          <cell r="BN31">
            <v>6.8154568332644369E-8</v>
          </cell>
          <cell r="BO31">
            <v>1.3253455022318409E-8</v>
          </cell>
          <cell r="BP31">
            <v>1.0539830858946329E-8</v>
          </cell>
          <cell r="BQ31">
            <v>2.7121798347868929E-9</v>
          </cell>
          <cell r="BR31">
            <v>2.8821145324378872E-9</v>
          </cell>
          <cell r="BS31">
            <v>1.1223718949672523E-9</v>
          </cell>
          <cell r="BT31">
            <v>6.1047802036428271E-10</v>
          </cell>
          <cell r="BU31">
            <v>2.9266589090373388E-10</v>
          </cell>
          <cell r="BV31">
            <v>9.0315358067901357E-11</v>
          </cell>
          <cell r="BW31">
            <v>5.7232693334032427E-11</v>
          </cell>
          <cell r="BX31">
            <v>2.4509161234707559E-12</v>
          </cell>
          <cell r="BY31">
            <v>1.6881379357301865E-13</v>
          </cell>
        </row>
        <row r="32">
          <cell r="B32">
            <v>3.5969377662178378E-2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2.5613179221898374E-7</v>
          </cell>
          <cell r="H32">
            <v>0</v>
          </cell>
          <cell r="I32">
            <v>3.2182181257502039E-6</v>
          </cell>
          <cell r="J32">
            <v>0</v>
          </cell>
          <cell r="K32">
            <v>2.3629998428685894E-7</v>
          </cell>
          <cell r="L32">
            <v>0</v>
          </cell>
          <cell r="M32">
            <v>3.7543081152695467E-6</v>
          </cell>
          <cell r="N32">
            <v>1.2052463434434238E-5</v>
          </cell>
          <cell r="O32">
            <v>8.6214353951465307E-6</v>
          </cell>
          <cell r="P32">
            <v>3.2388887545202076E-5</v>
          </cell>
          <cell r="Q32">
            <v>5.5925212793253481E-5</v>
          </cell>
          <cell r="R32">
            <v>6.2208919350844711E-7</v>
          </cell>
          <cell r="S32">
            <v>1.1621594588746455E-5</v>
          </cell>
          <cell r="T32">
            <v>3.5242954382549551E-5</v>
          </cell>
          <cell r="U32">
            <v>3.3103310112620429E-5</v>
          </cell>
          <cell r="V32">
            <v>4.3781095251421544E-5</v>
          </cell>
          <cell r="W32">
            <v>9.7476200208214211E-5</v>
          </cell>
          <cell r="X32">
            <v>1.2421060747473583E-4</v>
          </cell>
          <cell r="Y32">
            <v>2.5345136711253029E-4</v>
          </cell>
          <cell r="Z32">
            <v>1.0819926785003776E-4</v>
          </cell>
          <cell r="AA32">
            <v>3.2697715665587702E-4</v>
          </cell>
          <cell r="AB32">
            <v>3.1409757073024214E-4</v>
          </cell>
          <cell r="AC32">
            <v>5.0550794865171999E-4</v>
          </cell>
          <cell r="AD32">
            <v>5.8482416516065366E-4</v>
          </cell>
          <cell r="AE32">
            <v>8.3073569716131954E-4</v>
          </cell>
          <cell r="AF32">
            <v>1.0491081106264856E-3</v>
          </cell>
          <cell r="AG32">
            <v>1.6756481914821941E-3</v>
          </cell>
          <cell r="AH32">
            <v>2.0080309714084646E-3</v>
          </cell>
          <cell r="AI32">
            <v>2.6098114873471506E-3</v>
          </cell>
          <cell r="AJ32">
            <v>5.400016517226389E-3</v>
          </cell>
          <cell r="AK32">
            <v>1.2219052273506361E-2</v>
          </cell>
          <cell r="AL32">
            <v>1.913109519697823E-2</v>
          </cell>
          <cell r="AM32">
            <v>2.9064286457291189E-2</v>
          </cell>
          <cell r="AN32">
            <v>6.558314440512493E-2</v>
          </cell>
          <cell r="AO32">
            <v>4.7592931810515986E-2</v>
          </cell>
          <cell r="AP32">
            <v>7.7792356400052845E-2</v>
          </cell>
          <cell r="AQ32">
            <v>0.10070183209046202</v>
          </cell>
          <cell r="AR32">
            <v>6.5716374622575568E-2</v>
          </cell>
          <cell r="AS32">
            <v>8.851465930929224E-2</v>
          </cell>
          <cell r="AT32">
            <v>7.2474819085553449E-2</v>
          </cell>
          <cell r="AU32">
            <v>9.7747808678801978E-2</v>
          </cell>
          <cell r="AV32">
            <v>4.0704005035818377E-2</v>
          </cell>
          <cell r="AW32">
            <v>5.7618821500004011E-2</v>
          </cell>
          <cell r="AX32">
            <v>3.4833296542473927E-2</v>
          </cell>
          <cell r="AY32">
            <v>3.6060995087149127E-2</v>
          </cell>
          <cell r="AZ32">
            <v>2.7386206766715642E-2</v>
          </cell>
          <cell r="BA32">
            <v>1.8452552646576397E-2</v>
          </cell>
          <cell r="BB32">
            <v>1.0167214355107097E-2</v>
          </cell>
          <cell r="BC32">
            <v>1.2713275159467968E-2</v>
          </cell>
          <cell r="BD32">
            <v>8.1970049398314218E-3</v>
          </cell>
          <cell r="BE32">
            <v>6.8332094308818751E-3</v>
          </cell>
          <cell r="BF32">
            <v>5.3097978821994157E-3</v>
          </cell>
          <cell r="BG32">
            <v>3.1489488354608636E-3</v>
          </cell>
          <cell r="BH32">
            <v>3.538596021831094E-3</v>
          </cell>
          <cell r="BI32">
            <v>3.5870084666373031E-3</v>
          </cell>
          <cell r="BJ32">
            <v>1.2647851085236096E-3</v>
          </cell>
          <cell r="BK32">
            <v>8.0397955252983256E-4</v>
          </cell>
          <cell r="BL32">
            <v>4.0388280157954573E-4</v>
          </cell>
          <cell r="BM32">
            <v>1.4521324986182198E-4</v>
          </cell>
          <cell r="BN32">
            <v>1.180724354967515E-4</v>
          </cell>
          <cell r="BO32">
            <v>2.6864085051179796E-5</v>
          </cell>
          <cell r="BP32">
            <v>2.4730345815585727E-5</v>
          </cell>
          <cell r="BQ32">
            <v>7.3102098092071921E-6</v>
          </cell>
          <cell r="BR32">
            <v>8.926628906203054E-6</v>
          </cell>
          <cell r="BS32">
            <v>3.9861487456063383E-6</v>
          </cell>
          <cell r="BT32">
            <v>2.4690779522647125E-6</v>
          </cell>
          <cell r="BU32">
            <v>1.3401594581838858E-6</v>
          </cell>
          <cell r="BV32">
            <v>4.6934281067031654E-7</v>
          </cell>
          <cell r="BW32">
            <v>3.5823505569140215E-7</v>
          </cell>
          <cell r="BX32">
            <v>2.064112918974002E-8</v>
          </cell>
          <cell r="BY32">
            <v>2.0549769465632636E-9</v>
          </cell>
        </row>
        <row r="33">
          <cell r="B33">
            <v>4.9529409263389536E-2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5.3139346588795493E-9</v>
          </cell>
          <cell r="H33">
            <v>0</v>
          </cell>
          <cell r="I33">
            <v>9.7739474228706477E-8</v>
          </cell>
          <cell r="J33">
            <v>0</v>
          </cell>
          <cell r="K33">
            <v>8.0641446374208172E-9</v>
          </cell>
          <cell r="L33">
            <v>0</v>
          </cell>
          <cell r="M33">
            <v>1.5236745779819506E-7</v>
          </cell>
          <cell r="N33">
            <v>6.1029268651652487E-7</v>
          </cell>
          <cell r="O33">
            <v>4.6709309596081153E-7</v>
          </cell>
          <cell r="P33">
            <v>2.2239348066119612E-6</v>
          </cell>
          <cell r="Q33">
            <v>3.9525341934430191E-6</v>
          </cell>
          <cell r="R33">
            <v>4.2741420169379478E-8</v>
          </cell>
          <cell r="S33">
            <v>8.5085920260208256E-7</v>
          </cell>
          <cell r="T33">
            <v>2.8311531884672167E-6</v>
          </cell>
          <cell r="U33">
            <v>2.9298537249535689E-6</v>
          </cell>
          <cell r="V33">
            <v>4.2511823075733417E-6</v>
          </cell>
          <cell r="W33">
            <v>1.0369102437961109E-5</v>
          </cell>
          <cell r="X33">
            <v>1.4422523325664935E-5</v>
          </cell>
          <cell r="Y33">
            <v>3.2126253140447504E-5</v>
          </cell>
          <cell r="Z33">
            <v>1.4946804635456316E-5</v>
          </cell>
          <cell r="AA33">
            <v>4.9296068054622623E-5</v>
          </cell>
          <cell r="AB33">
            <v>5.1780882105528123E-5</v>
          </cell>
          <cell r="AC33">
            <v>9.1728206537820511E-5</v>
          </cell>
          <cell r="AD33">
            <v>1.1684606015021616E-4</v>
          </cell>
          <cell r="AE33">
            <v>1.8303498772778267E-4</v>
          </cell>
          <cell r="AF33">
            <v>2.5516340695351969E-4</v>
          </cell>
          <cell r="AG33">
            <v>4.4995411745912638E-4</v>
          </cell>
          <cell r="AH33">
            <v>5.9484673999887815E-4</v>
          </cell>
          <cell r="AI33">
            <v>8.5735472121712091E-4</v>
          </cell>
          <cell r="AJ33">
            <v>1.9664785170881971E-3</v>
          </cell>
          <cell r="AK33">
            <v>4.9498225482461494E-3</v>
          </cell>
          <cell r="AL33">
            <v>8.5862331093516844E-3</v>
          </cell>
          <cell r="AM33">
            <v>1.451798734278009E-2</v>
          </cell>
          <cell r="AN33">
            <v>3.6352930987421803E-2</v>
          </cell>
          <cell r="AO33">
            <v>2.9344586564555221E-2</v>
          </cell>
          <cell r="AP33">
            <v>5.3354744732896191E-2</v>
          </cell>
          <cell r="AQ33">
            <v>7.6241210823597388E-2</v>
          </cell>
          <cell r="AR33">
            <v>5.5084956291918202E-2</v>
          </cell>
          <cell r="AS33">
            <v>8.1741484546110771E-2</v>
          </cell>
          <cell r="AT33">
            <v>7.3319361657612006E-2</v>
          </cell>
          <cell r="AU33">
            <v>0.10814434948777968</v>
          </cell>
          <cell r="AV33">
            <v>4.9026411579792595E-2</v>
          </cell>
          <cell r="AW33">
            <v>7.4815191131183026E-2</v>
          </cell>
          <cell r="AX33">
            <v>4.8460388002340683E-2</v>
          </cell>
          <cell r="AY33">
            <v>5.3528834105005044E-2</v>
          </cell>
          <cell r="AZ33">
            <v>4.2910575363963505E-2</v>
          </cell>
          <cell r="BA33">
            <v>3.0369607720804118E-2</v>
          </cell>
          <cell r="BB33">
            <v>1.7452363693999544E-2</v>
          </cell>
          <cell r="BC33">
            <v>2.2625046283986608E-2</v>
          </cell>
          <cell r="BD33">
            <v>1.5051858273305598E-2</v>
          </cell>
          <cell r="BE33">
            <v>1.2877208961215058E-2</v>
          </cell>
          <cell r="BF33">
            <v>1.0229709849329062E-2</v>
          </cell>
          <cell r="BG33">
            <v>6.1845374972180137E-3</v>
          </cell>
          <cell r="BH33">
            <v>7.0986081681135189E-3</v>
          </cell>
          <cell r="BI33">
            <v>7.3787568840921374E-3</v>
          </cell>
          <cell r="BJ33">
            <v>2.6653685401965737E-3</v>
          </cell>
          <cell r="BK33">
            <v>1.7377463630027182E-3</v>
          </cell>
          <cell r="BL33">
            <v>8.9747113747072138E-4</v>
          </cell>
          <cell r="BM33">
            <v>3.3322998087733128E-4</v>
          </cell>
          <cell r="BN33">
            <v>2.8114594808197442E-4</v>
          </cell>
          <cell r="BO33">
            <v>6.6524008069613271E-5</v>
          </cell>
          <cell r="BP33">
            <v>6.3873213183790421E-5</v>
          </cell>
          <cell r="BQ33">
            <v>1.9722305363622601E-5</v>
          </cell>
          <cell r="BR33">
            <v>2.5205934507680983E-5</v>
          </cell>
          <cell r="BS33">
            <v>1.1788694054960366E-5</v>
          </cell>
          <cell r="BT33">
            <v>7.6439970998934061E-6</v>
          </cell>
          <cell r="BU33">
            <v>4.3438858589642583E-6</v>
          </cell>
          <cell r="BV33">
            <v>1.5940499262246727E-6</v>
          </cell>
          <cell r="BW33">
            <v>1.3020963382343152E-6</v>
          </cell>
          <cell r="BX33">
            <v>8.3831931157847522E-8</v>
          </cell>
          <cell r="BY33">
            <v>9.6235592200683438E-9</v>
          </cell>
        </row>
        <row r="34">
          <cell r="B34">
            <v>8.2613474781138133E-2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1.4983618610669289E-10</v>
          </cell>
          <cell r="H34">
            <v>0</v>
          </cell>
          <cell r="I34">
            <v>3.8852131778852476E-9</v>
          </cell>
          <cell r="J34">
            <v>0</v>
          </cell>
          <cell r="K34">
            <v>3.5460890166309562E-10</v>
          </cell>
          <cell r="L34">
            <v>0</v>
          </cell>
          <cell r="M34">
            <v>7.8651922129042472E-9</v>
          </cell>
          <cell r="N34">
            <v>3.8466600433158893E-8</v>
          </cell>
          <cell r="O34">
            <v>3.123307856279443E-8</v>
          </cell>
          <cell r="P34">
            <v>1.8391421740874232E-7</v>
          </cell>
          <cell r="Q34">
            <v>3.3482776153581284E-7</v>
          </cell>
          <cell r="R34">
            <v>3.530245581175865E-9</v>
          </cell>
          <cell r="S34">
            <v>7.4377712747924077E-8</v>
          </cell>
          <cell r="T34">
            <v>2.687047721686573E-7</v>
          </cell>
          <cell r="U34">
            <v>3.0289182388586367E-7</v>
          </cell>
          <cell r="V34">
            <v>4.7673943318056342E-7</v>
          </cell>
          <cell r="W34">
            <v>1.2594383294094055E-6</v>
          </cell>
          <cell r="X34">
            <v>1.8906709061294784E-6</v>
          </cell>
          <cell r="Y34">
            <v>4.5450817248921392E-6</v>
          </cell>
          <cell r="Z34">
            <v>2.2784717279178795E-6</v>
          </cell>
          <cell r="AA34">
            <v>8.1061576610357482E-6</v>
          </cell>
          <cell r="AB34">
            <v>9.195307105033787E-6</v>
          </cell>
          <cell r="AC34">
            <v>1.7684675822188897E-5</v>
          </cell>
          <cell r="AD34">
            <v>2.4451854950564503E-5</v>
          </cell>
          <cell r="AE34">
            <v>4.1613660607749692E-5</v>
          </cell>
          <cell r="AF34">
            <v>6.3067824305579453E-5</v>
          </cell>
          <cell r="AG34">
            <v>1.2090510909045804E-4</v>
          </cell>
          <cell r="AH34">
            <v>1.7356411888833653E-4</v>
          </cell>
          <cell r="AI34">
            <v>2.7272190677443941E-4</v>
          </cell>
          <cell r="AJ34">
            <v>6.8137677293561376E-4</v>
          </cell>
          <cell r="AK34">
            <v>1.8734967342206139E-3</v>
          </cell>
          <cell r="AL34">
            <v>3.5366212283475021E-3</v>
          </cell>
          <cell r="AM34">
            <v>6.5365533312256308E-3</v>
          </cell>
          <cell r="AN34">
            <v>1.7845165125367851E-2</v>
          </cell>
          <cell r="AO34">
            <v>1.5741644434825119E-2</v>
          </cell>
          <cell r="AP34">
            <v>3.1294880677369956E-2</v>
          </cell>
          <cell r="AQ34">
            <v>4.8603805375714793E-2</v>
          </cell>
          <cell r="AR34">
            <v>3.8323516828296912E-2</v>
          </cell>
          <cell r="AS34">
            <v>6.1905854399466685E-2</v>
          </cell>
          <cell r="AT34">
            <v>6.0270245369104421E-2</v>
          </cell>
          <cell r="AU34">
            <v>9.6667511613160714E-2</v>
          </cell>
          <cell r="AV34">
            <v>4.764461334745855E-2</v>
          </cell>
          <cell r="AW34">
            <v>7.8537599458256474E-2</v>
          </cell>
          <cell r="AX34">
            <v>5.4840508092530743E-2</v>
          </cell>
          <cell r="AY34">
            <v>6.5370654189421826E-2</v>
          </cell>
          <cell r="AZ34">
            <v>5.6070385707890261E-2</v>
          </cell>
          <cell r="BA34">
            <v>4.2467713832391021E-2</v>
          </cell>
          <cell r="BB34">
            <v>2.6010206779333543E-2</v>
          </cell>
          <cell r="BC34">
            <v>3.5848642804474314E-2</v>
          </cell>
          <cell r="BD34">
            <v>2.5314220150088232E-2</v>
          </cell>
          <cell r="BE34">
            <v>2.2905420491494501E-2</v>
          </cell>
          <cell r="BF34">
            <v>1.9154160138509929E-2</v>
          </cell>
          <cell r="BG34">
            <v>1.2158281447343228E-2</v>
          </cell>
          <cell r="BH34">
            <v>1.4758492402764988E-2</v>
          </cell>
          <cell r="BI34">
            <v>1.6498137721679951E-2</v>
          </cell>
          <cell r="BJ34">
            <v>6.4067280114640281E-3</v>
          </cell>
          <cell r="BK34">
            <v>4.4462740692145543E-3</v>
          </cell>
          <cell r="BL34">
            <v>2.4306223005461486E-3</v>
          </cell>
          <cell r="BM34">
            <v>9.5241569597737921E-4</v>
          </cell>
          <cell r="BN34">
            <v>8.4746287605729062E-4</v>
          </cell>
          <cell r="BO34">
            <v>2.1132692854714753E-4</v>
          </cell>
          <cell r="BP34">
            <v>2.1392848426313082E-4</v>
          </cell>
          <cell r="BQ34">
            <v>6.9650586185550917E-5</v>
          </cell>
          <cell r="BR34">
            <v>9.3945043457243117E-5</v>
          </cell>
          <cell r="BS34">
            <v>4.6376194755719965E-5</v>
          </cell>
          <cell r="BT34">
            <v>3.1701450909374611E-5</v>
          </cell>
          <cell r="BU34">
            <v>1.8992434051855029E-5</v>
          </cell>
          <cell r="BV34">
            <v>7.3526411217424465E-6</v>
          </cell>
          <cell r="BW34">
            <v>6.4906135193744773E-6</v>
          </cell>
          <cell r="BX34">
            <v>4.742185621711799E-7</v>
          </cell>
          <cell r="BY34">
            <v>6.3998165990425955E-8</v>
          </cell>
        </row>
      </sheetData>
      <sheetData sheetId="2"/>
      <sheetData sheetId="3" refreshError="1"/>
      <sheetData sheetId="4">
        <row r="2">
          <cell r="I2">
            <v>370</v>
          </cell>
          <cell r="N2">
            <v>5</v>
          </cell>
        </row>
        <row r="5">
          <cell r="N5" t="str">
            <v>RigorousWithProps</v>
          </cell>
        </row>
        <row r="6">
          <cell r="N6">
            <v>100000</v>
          </cell>
        </row>
        <row r="9">
          <cell r="J9">
            <v>0</v>
          </cell>
        </row>
        <row r="10">
          <cell r="J10">
            <v>0.01</v>
          </cell>
        </row>
        <row r="11">
          <cell r="J11">
            <v>0.01</v>
          </cell>
        </row>
        <row r="12">
          <cell r="J12">
            <v>0.1</v>
          </cell>
        </row>
        <row r="13">
          <cell r="J13">
            <v>0.1</v>
          </cell>
        </row>
        <row r="14">
          <cell r="J14">
            <v>250</v>
          </cell>
        </row>
        <row r="15">
          <cell r="J15">
            <v>0.01</v>
          </cell>
          <cell r="T15">
            <v>5</v>
          </cell>
        </row>
        <row r="16">
          <cell r="T16">
            <v>4</v>
          </cell>
        </row>
        <row r="17">
          <cell r="J17">
            <v>10</v>
          </cell>
          <cell r="T17">
            <v>6</v>
          </cell>
        </row>
        <row r="18">
          <cell r="T18">
            <v>5</v>
          </cell>
        </row>
        <row r="20">
          <cell r="T20">
            <v>3</v>
          </cell>
        </row>
        <row r="21">
          <cell r="T21">
            <v>5</v>
          </cell>
        </row>
      </sheetData>
      <sheetData sheetId="5">
        <row r="1">
          <cell r="C1" t="str">
            <v>VapourRate</v>
          </cell>
          <cell r="J1">
            <v>0.1</v>
          </cell>
          <cell r="Y1">
            <v>3.9291956207008778</v>
          </cell>
        </row>
        <row r="2">
          <cell r="Y2">
            <v>22.470768727878323</v>
          </cell>
        </row>
        <row r="4">
          <cell r="E4">
            <v>0.5</v>
          </cell>
        </row>
        <row r="5">
          <cell r="S5">
            <v>47</v>
          </cell>
        </row>
        <row r="6">
          <cell r="E6">
            <v>45</v>
          </cell>
        </row>
        <row r="7">
          <cell r="E7">
            <v>3</v>
          </cell>
        </row>
        <row r="8">
          <cell r="E8">
            <v>195</v>
          </cell>
        </row>
        <row r="16">
          <cell r="AA16">
            <v>0.1</v>
          </cell>
        </row>
        <row r="17">
          <cell r="AA17">
            <v>0.1</v>
          </cell>
        </row>
        <row r="18">
          <cell r="AA18">
            <v>0.1</v>
          </cell>
        </row>
        <row r="19">
          <cell r="AA19">
            <v>0.1</v>
          </cell>
        </row>
        <row r="20">
          <cell r="AA20">
            <v>0.1</v>
          </cell>
        </row>
        <row r="21">
          <cell r="AA21">
            <v>0.1</v>
          </cell>
        </row>
        <row r="22">
          <cell r="AA22">
            <v>0.1</v>
          </cell>
        </row>
        <row r="23">
          <cell r="AA23">
            <v>0.1</v>
          </cell>
        </row>
        <row r="24">
          <cell r="AA24">
            <v>0.1</v>
          </cell>
        </row>
        <row r="25">
          <cell r="AA25">
            <v>0.1</v>
          </cell>
        </row>
        <row r="26">
          <cell r="AA26">
            <v>0.1</v>
          </cell>
        </row>
        <row r="27">
          <cell r="AA27">
            <v>0.1</v>
          </cell>
        </row>
        <row r="28">
          <cell r="AA28">
            <v>0.1</v>
          </cell>
        </row>
        <row r="29">
          <cell r="AA29">
            <v>0.1</v>
          </cell>
        </row>
        <row r="30">
          <cell r="AA30">
            <v>0.1</v>
          </cell>
        </row>
        <row r="31">
          <cell r="AA31">
            <v>0.1</v>
          </cell>
        </row>
        <row r="32">
          <cell r="AA32">
            <v>0.1</v>
          </cell>
        </row>
        <row r="33">
          <cell r="AA33">
            <v>0.1</v>
          </cell>
        </row>
        <row r="34">
          <cell r="AA34">
            <v>0.1</v>
          </cell>
        </row>
        <row r="35">
          <cell r="AA35">
            <v>0.1</v>
          </cell>
        </row>
      </sheetData>
      <sheetData sheetId="6" refreshError="1"/>
      <sheetData sheetId="7">
        <row r="24">
          <cell r="AN24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pPress"/>
      <sheetName val="VapBase"/>
      <sheetName val="VapPress2"/>
      <sheetName val="Sheet2"/>
      <sheetName val="Enthalpies2"/>
      <sheetName val="Test_Temp_Est"/>
      <sheetName val="IG_Cps"/>
      <sheetName val="Chart1"/>
      <sheetName val="Sheet3"/>
      <sheetName val="Control"/>
      <sheetName val="Jacobian"/>
      <sheetName val="RusselInitial"/>
      <sheetName val="Russel"/>
      <sheetName val="Russel1"/>
      <sheetName val="Russel2"/>
      <sheetName val="Russel3"/>
      <sheetName val="Russel4"/>
      <sheetName val="Russel5"/>
      <sheetName val="Russel6"/>
      <sheetName val="Russel7"/>
      <sheetName val="Russel8"/>
      <sheetName val="Russel9"/>
      <sheetName val="rr"/>
      <sheetName val="SideLDraw"/>
      <sheetName val="Strip1"/>
      <sheetName val="Strip2"/>
      <sheetName val="Strip3"/>
      <sheetName val="StripDraw"/>
      <sheetName val="PADRA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I6" t="str">
            <v>Propane</v>
          </cell>
        </row>
        <row r="7">
          <cell r="I7" t="str">
            <v>n-Butane</v>
          </cell>
        </row>
        <row r="8">
          <cell r="I8" t="str">
            <v>n-C30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204B-89BC-4F0C-AF5B-4F58A5C9FCA5}">
  <sheetPr codeName="Sheet4"/>
  <dimension ref="A1:AE82"/>
  <sheetViews>
    <sheetView workbookViewId="0">
      <selection activeCell="M5" sqref="M5"/>
    </sheetView>
  </sheetViews>
  <sheetFormatPr defaultRowHeight="15" x14ac:dyDescent="0.25"/>
  <cols>
    <col min="1" max="1" width="13.7109375" style="1" customWidth="1"/>
    <col min="2" max="2" width="10.28515625" style="1" customWidth="1"/>
    <col min="3" max="3" width="9.5703125" style="2" customWidth="1"/>
    <col min="4" max="4" width="8.85546875" style="1" customWidth="1"/>
    <col min="5" max="5" width="8.85546875" style="3" customWidth="1"/>
    <col min="6" max="9" width="8.85546875" style="1" customWidth="1"/>
    <col min="10" max="10" width="11.7109375" style="4" customWidth="1"/>
    <col min="11" max="11" width="9.140625" style="1"/>
    <col min="12" max="12" width="9.140625" style="15"/>
    <col min="13" max="13" width="9.5703125" style="1" bestFit="1" customWidth="1"/>
    <col min="14" max="15" width="9.140625" style="1"/>
    <col min="16" max="16" width="15.5703125" style="1" bestFit="1" customWidth="1"/>
    <col min="17" max="17" width="11.28515625" style="1" bestFit="1" customWidth="1"/>
    <col min="18" max="18" width="18" style="1" customWidth="1"/>
    <col min="19" max="24" width="9.140625" style="1"/>
    <col min="25" max="25" width="9.140625" style="8"/>
    <col min="26" max="26" width="9.140625" style="1"/>
    <col min="27" max="27" width="9.5703125" style="9" bestFit="1" customWidth="1"/>
    <col min="28" max="28" width="9.5703125" style="10" bestFit="1" customWidth="1"/>
    <col min="29" max="29" width="9.140625" style="2"/>
    <col min="30" max="31" width="9.140625" style="11"/>
    <col min="32" max="16384" width="9.140625" style="1"/>
  </cols>
  <sheetData>
    <row r="1" spans="1:31" x14ac:dyDescent="0.25">
      <c r="L1" s="1" t="s">
        <v>3</v>
      </c>
      <c r="M1" s="5" t="s">
        <v>4</v>
      </c>
      <c r="N1" s="6" t="s">
        <v>5</v>
      </c>
      <c r="O1" s="7" t="s">
        <v>6</v>
      </c>
      <c r="P1" s="1" t="s">
        <v>7</v>
      </c>
      <c r="R1" s="1" t="s">
        <v>8</v>
      </c>
      <c r="S1" s="1">
        <v>0.67009942259101096</v>
      </c>
    </row>
    <row r="2" spans="1:31" x14ac:dyDescent="0.25">
      <c r="L2" s="1">
        <v>0.12</v>
      </c>
      <c r="M2" s="5">
        <v>370</v>
      </c>
      <c r="N2" s="6">
        <v>3</v>
      </c>
      <c r="O2" s="7">
        <v>5</v>
      </c>
      <c r="P2" s="1" t="b">
        <v>0</v>
      </c>
      <c r="R2" s="1" t="s">
        <v>9</v>
      </c>
      <c r="S2" s="12">
        <v>-235464.85365</v>
      </c>
    </row>
    <row r="3" spans="1:31" x14ac:dyDescent="0.25">
      <c r="B3" s="13">
        <f>SUM(B5:B80)</f>
        <v>1.0003</v>
      </c>
      <c r="K3" s="14"/>
      <c r="R3" s="1" t="s">
        <v>10</v>
      </c>
      <c r="S3" s="1">
        <f>S4</f>
        <v>-219940.17690925908</v>
      </c>
    </row>
    <row r="4" spans="1:31" x14ac:dyDescent="0.25">
      <c r="A4" s="1" t="s">
        <v>11</v>
      </c>
      <c r="B4" s="16" t="s">
        <v>12</v>
      </c>
      <c r="C4" s="3" t="s">
        <v>13</v>
      </c>
      <c r="D4" s="16" t="s">
        <v>14</v>
      </c>
      <c r="E4" s="3" t="s">
        <v>15</v>
      </c>
      <c r="F4" s="1" t="s">
        <v>16</v>
      </c>
      <c r="G4" s="1" t="s">
        <v>17</v>
      </c>
      <c r="H4" s="1" t="s">
        <v>18</v>
      </c>
      <c r="I4" s="1" t="s">
        <v>19</v>
      </c>
      <c r="J4" s="17" t="s">
        <v>20</v>
      </c>
      <c r="M4" s="2" t="s">
        <v>21</v>
      </c>
      <c r="S4" s="1" cm="1">
        <f t="array" ref="S4">StreamEnthalpyFixedProps(CompNames,BP,SG,TCrit,PCrit,CritV,MW,Omega,Fractions,T,P,Method, UseBips)</f>
        <v>-219940.17690925908</v>
      </c>
      <c r="U4" s="1" t="s">
        <v>22</v>
      </c>
      <c r="V4" s="1" t="s">
        <v>23</v>
      </c>
      <c r="X4" s="16" t="s">
        <v>12</v>
      </c>
      <c r="Y4" s="18" t="s">
        <v>13</v>
      </c>
      <c r="Z4" s="16" t="s">
        <v>14</v>
      </c>
      <c r="AA4" s="19" t="s">
        <v>15</v>
      </c>
      <c r="AB4" s="10" t="s">
        <v>16</v>
      </c>
      <c r="AC4" s="2" t="s">
        <v>17</v>
      </c>
      <c r="AD4" s="11" t="s">
        <v>18</v>
      </c>
      <c r="AE4" s="11" t="s">
        <v>19</v>
      </c>
    </row>
    <row r="5" spans="1:31" x14ac:dyDescent="0.25">
      <c r="A5" s="1" t="s">
        <v>24</v>
      </c>
      <c r="B5" s="20">
        <v>0</v>
      </c>
      <c r="C5" s="8">
        <v>99.998010253906003</v>
      </c>
      <c r="D5" s="20">
        <v>0.99891371411551799</v>
      </c>
      <c r="E5" s="10">
        <v>374.15</v>
      </c>
      <c r="F5" s="10">
        <v>221.2</v>
      </c>
      <c r="G5" s="2">
        <v>18.015100479125898</v>
      </c>
      <c r="H5" s="11">
        <v>0.34400001168250999</v>
      </c>
      <c r="I5" s="11">
        <v>5.7100001722574199E-2</v>
      </c>
      <c r="J5" s="4" t="e" cm="1">
        <f t="array" aca="1" ref="J5" ca="1">TRANPOSE(KMixWithFixedProps(CompNames,BP,SG,TCrit,PCrit,CritV,MW,Omega,Fractions,Fractions,T,P,Method,UseBips))</f>
        <v>#NAME?</v>
      </c>
      <c r="K5" s="1">
        <v>997.98602294921898</v>
      </c>
      <c r="L5" s="15" t="e">
        <f ca="1">LN(J5)</f>
        <v>#NAME?</v>
      </c>
      <c r="M5" s="2">
        <f t="shared" ref="M5:M69" si="0">C5+273.15</f>
        <v>373.14801025390597</v>
      </c>
      <c r="O5" s="1">
        <v>25.200221933085501</v>
      </c>
      <c r="U5" s="11">
        <v>0</v>
      </c>
      <c r="V5" s="11">
        <v>0</v>
      </c>
      <c r="X5" s="20" cm="1">
        <f t="array" ref="X5:X80">ROUND(FeedMoleArray,5)</f>
        <v>0</v>
      </c>
      <c r="Y5" s="8" cm="1">
        <f t="array" ref="Y5:Y80">ROUND(BP,2)</f>
        <v>100</v>
      </c>
      <c r="Z5" s="20" cm="1">
        <f t="array" ref="Z5:Z80">ROUND(SG,4)</f>
        <v>0.99890000000000001</v>
      </c>
      <c r="AA5" s="9" cm="1">
        <f t="array" ref="AA5:AA80">ROUND(TCrit+273.15,2)</f>
        <v>647.29999999999995</v>
      </c>
      <c r="AB5" s="10" cm="1">
        <f t="array" ref="AB5:AB80">ROUND(PCrit,1)</f>
        <v>221.2</v>
      </c>
      <c r="AC5" s="2" cm="1">
        <f t="array" ref="AC5:AC80">ROUND(MW,2)</f>
        <v>18.02</v>
      </c>
      <c r="AD5" s="11" cm="1">
        <f t="array" ref="AD5:AD80">ROUND(Omega,4)</f>
        <v>0.34399999999999997</v>
      </c>
      <c r="AE5" s="11" cm="1">
        <f t="array" ref="AE5:AE80">ROUND(CritV,4)</f>
        <v>5.7099999999999998E-2</v>
      </c>
    </row>
    <row r="6" spans="1:31" x14ac:dyDescent="0.25">
      <c r="A6" s="1" t="s">
        <v>25</v>
      </c>
      <c r="B6" s="20">
        <v>0</v>
      </c>
      <c r="C6" s="8">
        <v>-252.59519996642999</v>
      </c>
      <c r="D6" s="20">
        <v>6.99240387966273E-2</v>
      </c>
      <c r="E6" s="10">
        <v>-239.71</v>
      </c>
      <c r="F6" s="10">
        <v>13.15</v>
      </c>
      <c r="G6" s="2">
        <v>2.0160000324249201</v>
      </c>
      <c r="H6" s="11">
        <v>-0.12009000033140201</v>
      </c>
      <c r="I6" s="11">
        <v>5.1500000059604603E-2</v>
      </c>
      <c r="K6" s="1">
        <v>69.859100341796903</v>
      </c>
      <c r="L6" s="15" t="e">
        <f t="shared" ref="L6:L69" si="1">LN(J6)</f>
        <v>#NUM!</v>
      </c>
      <c r="M6" s="2">
        <f t="shared" si="0"/>
        <v>20.55480003356999</v>
      </c>
      <c r="O6" s="1">
        <v>96.882924821671594</v>
      </c>
      <c r="U6" s="11">
        <v>0</v>
      </c>
      <c r="V6" s="11">
        <v>0</v>
      </c>
      <c r="X6" s="20">
        <v>0</v>
      </c>
      <c r="Y6" s="8">
        <v>-252.6</v>
      </c>
      <c r="Z6" s="20">
        <v>6.9900000000000004E-2</v>
      </c>
      <c r="AA6" s="9">
        <v>33.44</v>
      </c>
      <c r="AB6" s="10">
        <v>13.2</v>
      </c>
      <c r="AC6" s="2">
        <v>2.02</v>
      </c>
      <c r="AD6" s="11">
        <v>-0.1201</v>
      </c>
      <c r="AE6" s="11">
        <v>5.1499999999999997E-2</v>
      </c>
    </row>
    <row r="7" spans="1:31" x14ac:dyDescent="0.25">
      <c r="A7" s="1" t="s">
        <v>26</v>
      </c>
      <c r="B7" s="20">
        <v>0</v>
      </c>
      <c r="C7" s="8">
        <v>-195.80019989013601</v>
      </c>
      <c r="D7" s="20">
        <v>0.807123599124007</v>
      </c>
      <c r="E7" s="10">
        <v>-146.96</v>
      </c>
      <c r="F7" s="10">
        <v>33.94</v>
      </c>
      <c r="G7" s="2">
        <v>28.0130004882812</v>
      </c>
      <c r="H7" s="11">
        <v>3.9999801665544503E-2</v>
      </c>
      <c r="I7" s="11">
        <v>9.00000035762787E-2</v>
      </c>
      <c r="K7" s="1">
        <v>806.3740234375</v>
      </c>
      <c r="L7" s="15" t="e">
        <f t="shared" si="1"/>
        <v>#NUM!</v>
      </c>
      <c r="M7" s="2">
        <f t="shared" si="0"/>
        <v>77.349800109863963</v>
      </c>
      <c r="O7" s="1">
        <v>83.3621880976211</v>
      </c>
      <c r="U7" s="11">
        <v>0</v>
      </c>
      <c r="V7" s="11">
        <v>0</v>
      </c>
      <c r="X7" s="20">
        <v>0</v>
      </c>
      <c r="Y7" s="8">
        <v>-195.8</v>
      </c>
      <c r="Z7" s="20">
        <v>0.80710000000000004</v>
      </c>
      <c r="AA7" s="9">
        <v>126.19</v>
      </c>
      <c r="AB7" s="10">
        <v>33.9</v>
      </c>
      <c r="AC7" s="2">
        <v>28.01</v>
      </c>
      <c r="AD7" s="11">
        <v>0.04</v>
      </c>
      <c r="AE7" s="11">
        <v>0.09</v>
      </c>
    </row>
    <row r="8" spans="1:31" x14ac:dyDescent="0.25">
      <c r="A8" s="1" t="s">
        <v>27</v>
      </c>
      <c r="B8" s="20">
        <v>0</v>
      </c>
      <c r="C8" s="8">
        <v>-191.45039978027299</v>
      </c>
      <c r="D8" s="20">
        <v>0.80013108222434304</v>
      </c>
      <c r="E8" s="10">
        <v>-140.19999999999999</v>
      </c>
      <c r="F8" s="10">
        <v>34.99</v>
      </c>
      <c r="G8" s="2">
        <v>28.010900497436499</v>
      </c>
      <c r="H8" s="11">
        <v>9.3000002205371898E-2</v>
      </c>
      <c r="I8" s="11">
        <v>8.92999023199081E-2</v>
      </c>
      <c r="K8" s="1">
        <v>799.38800048828102</v>
      </c>
      <c r="L8" s="15" t="e">
        <f t="shared" si="1"/>
        <v>#NUM!</v>
      </c>
      <c r="M8" s="2">
        <f t="shared" si="0"/>
        <v>81.699600219726989</v>
      </c>
      <c r="O8" s="1">
        <v>87.279611216516997</v>
      </c>
      <c r="U8" s="11">
        <v>0</v>
      </c>
      <c r="V8" s="11">
        <v>0</v>
      </c>
      <c r="X8" s="20">
        <v>0</v>
      </c>
      <c r="Y8" s="8">
        <v>-191.45</v>
      </c>
      <c r="Z8" s="20">
        <v>0.80010000000000003</v>
      </c>
      <c r="AA8" s="9">
        <v>132.94999999999999</v>
      </c>
      <c r="AB8" s="10">
        <v>35</v>
      </c>
      <c r="AC8" s="2">
        <v>28.01</v>
      </c>
      <c r="AD8" s="11">
        <v>9.2999999999999999E-2</v>
      </c>
      <c r="AE8" s="11">
        <v>8.9300000000000004E-2</v>
      </c>
    </row>
    <row r="9" spans="1:31" x14ac:dyDescent="0.25">
      <c r="A9" s="1" t="s">
        <v>28</v>
      </c>
      <c r="B9" s="20">
        <v>0</v>
      </c>
      <c r="C9" s="8">
        <v>-182.95039978027299</v>
      </c>
      <c r="D9" s="20">
        <v>1.13873759931943</v>
      </c>
      <c r="E9" s="10">
        <v>-118.38</v>
      </c>
      <c r="F9" s="10">
        <v>50.8</v>
      </c>
      <c r="G9" s="2">
        <v>32</v>
      </c>
      <c r="H9" s="11">
        <v>1.8999900668859499E-2</v>
      </c>
      <c r="I9" s="11">
        <v>7.3200002312660203E-2</v>
      </c>
      <c r="K9" s="1">
        <v>1137.68005371094</v>
      </c>
      <c r="L9" s="15" t="e">
        <f t="shared" si="1"/>
        <v>#NUM!</v>
      </c>
      <c r="M9" s="2">
        <f t="shared" si="0"/>
        <v>90.199600219726989</v>
      </c>
      <c r="O9" s="1">
        <v>72.933728877818098</v>
      </c>
      <c r="U9" s="11">
        <v>0</v>
      </c>
      <c r="V9" s="11">
        <v>0</v>
      </c>
      <c r="X9" s="20">
        <v>0</v>
      </c>
      <c r="Y9" s="8">
        <v>-182.95</v>
      </c>
      <c r="Z9" s="20">
        <v>1.1387</v>
      </c>
      <c r="AA9" s="9">
        <v>154.77000000000001</v>
      </c>
      <c r="AB9" s="10">
        <v>50.8</v>
      </c>
      <c r="AC9" s="2">
        <v>32</v>
      </c>
      <c r="AD9" s="11">
        <v>1.9E-2</v>
      </c>
      <c r="AE9" s="11">
        <v>7.3200000000000001E-2</v>
      </c>
    </row>
    <row r="10" spans="1:31" x14ac:dyDescent="0.25">
      <c r="A10" s="1" t="s">
        <v>29</v>
      </c>
      <c r="B10" s="20">
        <v>0</v>
      </c>
      <c r="C10" s="8">
        <v>-161.52499999999901</v>
      </c>
      <c r="D10" s="20">
        <v>0.29967231813302198</v>
      </c>
      <c r="E10" s="10">
        <v>-82.45</v>
      </c>
      <c r="F10" s="10">
        <v>46.41</v>
      </c>
      <c r="G10" s="2">
        <v>16.042900085449201</v>
      </c>
      <c r="H10" s="11">
        <v>1.1498400010168599E-2</v>
      </c>
      <c r="I10" s="11">
        <v>9.8999902606010395E-2</v>
      </c>
      <c r="K10" s="1">
        <v>299.39401245117199</v>
      </c>
      <c r="L10" s="15" t="e">
        <f t="shared" si="1"/>
        <v>#NUM!</v>
      </c>
      <c r="M10" s="2">
        <f t="shared" si="0"/>
        <v>111.62500000000097</v>
      </c>
      <c r="O10" s="1">
        <v>62.6960311603221</v>
      </c>
      <c r="U10" s="11">
        <v>0</v>
      </c>
      <c r="V10" s="11">
        <v>0</v>
      </c>
      <c r="X10" s="20">
        <v>0</v>
      </c>
      <c r="Y10" s="8">
        <v>-161.52000000000001</v>
      </c>
      <c r="Z10" s="20">
        <v>0.29970000000000002</v>
      </c>
      <c r="AA10" s="9">
        <v>190.7</v>
      </c>
      <c r="AB10" s="10">
        <v>46.4</v>
      </c>
      <c r="AC10" s="2">
        <v>16.04</v>
      </c>
      <c r="AD10" s="11">
        <v>1.15E-2</v>
      </c>
      <c r="AE10" s="11">
        <v>9.9000000000000005E-2</v>
      </c>
    </row>
    <row r="11" spans="1:31" x14ac:dyDescent="0.25">
      <c r="A11" s="1" t="s">
        <v>30</v>
      </c>
      <c r="B11" s="20">
        <v>0</v>
      </c>
      <c r="C11" s="8">
        <v>-103.750997924804</v>
      </c>
      <c r="D11" s="20">
        <v>0.38358224601546798</v>
      </c>
      <c r="E11" s="10">
        <v>9.2100000000000009</v>
      </c>
      <c r="F11" s="10">
        <v>50.32</v>
      </c>
      <c r="G11" s="2">
        <v>28.0538005828857</v>
      </c>
      <c r="H11" s="11">
        <v>8.5000000894069699E-2</v>
      </c>
      <c r="I11" s="11">
        <v>0.12894000113010401</v>
      </c>
      <c r="K11" s="1">
        <v>383.22601318359398</v>
      </c>
      <c r="L11" s="15" t="e">
        <f t="shared" si="1"/>
        <v>#NUM!</v>
      </c>
      <c r="M11" s="2">
        <f t="shared" si="0"/>
        <v>169.39900207519599</v>
      </c>
      <c r="O11" s="1">
        <v>47.258390007882802</v>
      </c>
      <c r="S11" s="11"/>
      <c r="U11" s="11">
        <v>0</v>
      </c>
      <c r="V11" s="11">
        <v>0</v>
      </c>
      <c r="X11" s="20">
        <v>0</v>
      </c>
      <c r="Y11" s="8">
        <v>-103.75</v>
      </c>
      <c r="Z11" s="20">
        <v>0.3836</v>
      </c>
      <c r="AA11" s="9">
        <v>282.36</v>
      </c>
      <c r="AB11" s="10">
        <v>50.3</v>
      </c>
      <c r="AC11" s="2">
        <v>28.05</v>
      </c>
      <c r="AD11" s="11">
        <v>8.5000000000000006E-2</v>
      </c>
      <c r="AE11" s="11">
        <v>0.12889999999999999</v>
      </c>
    </row>
    <row r="12" spans="1:31" x14ac:dyDescent="0.25">
      <c r="A12" s="1" t="s">
        <v>31</v>
      </c>
      <c r="B12" s="20">
        <v>1.2999999999999999E-3</v>
      </c>
      <c r="C12" s="8">
        <v>-88.599996948242904</v>
      </c>
      <c r="D12" s="20">
        <v>0.35601364378700101</v>
      </c>
      <c r="E12" s="10">
        <v>32.28</v>
      </c>
      <c r="F12" s="10">
        <v>48.84</v>
      </c>
      <c r="G12" s="2">
        <v>30.069900512695298</v>
      </c>
      <c r="H12" s="11">
        <v>9.8600000143051106E-2</v>
      </c>
      <c r="I12" s="11">
        <v>0.14800000190734899</v>
      </c>
      <c r="K12" s="1">
        <v>355.68301391601602</v>
      </c>
      <c r="L12" s="15" t="e">
        <f t="shared" si="1"/>
        <v>#NUM!</v>
      </c>
      <c r="M12" s="2">
        <f t="shared" si="0"/>
        <v>184.55000305175707</v>
      </c>
      <c r="O12" s="1">
        <v>43.083566336813099</v>
      </c>
      <c r="S12" s="11"/>
      <c r="U12" s="11">
        <v>0</v>
      </c>
      <c r="V12" s="11">
        <v>0</v>
      </c>
      <c r="X12" s="20">
        <v>1.2999999999999999E-3</v>
      </c>
      <c r="Y12" s="8">
        <v>-88.6</v>
      </c>
      <c r="Z12" s="20">
        <v>0.35599999999999998</v>
      </c>
      <c r="AA12" s="9">
        <v>305.43</v>
      </c>
      <c r="AB12" s="10">
        <v>48.8</v>
      </c>
      <c r="AC12" s="2">
        <v>30.07</v>
      </c>
      <c r="AD12" s="11">
        <v>9.8599999999999993E-2</v>
      </c>
      <c r="AE12" s="11">
        <v>0.14799999999999999</v>
      </c>
    </row>
    <row r="13" spans="1:31" x14ac:dyDescent="0.25">
      <c r="A13" s="1" t="s">
        <v>32</v>
      </c>
      <c r="B13" s="20">
        <v>0</v>
      </c>
      <c r="C13" s="8">
        <v>-78.551992797851895</v>
      </c>
      <c r="D13" s="20">
        <v>0.82610222310725601</v>
      </c>
      <c r="E13" s="10">
        <v>30.95</v>
      </c>
      <c r="F13" s="10">
        <v>73.7</v>
      </c>
      <c r="G13" s="2">
        <v>44.009700775146399</v>
      </c>
      <c r="H13" s="11">
        <v>0.23894000053405801</v>
      </c>
      <c r="I13" s="11">
        <v>9.3900002539157895E-2</v>
      </c>
      <c r="K13" s="1">
        <v>825.33502197265602</v>
      </c>
      <c r="L13" s="15" t="e">
        <f t="shared" si="1"/>
        <v>#NUM!</v>
      </c>
      <c r="M13" s="2">
        <f t="shared" si="0"/>
        <v>194.5980072021481</v>
      </c>
      <c r="O13" s="1">
        <v>53.107576533237498</v>
      </c>
      <c r="S13" s="11"/>
      <c r="U13" s="11">
        <v>0</v>
      </c>
      <c r="V13" s="11">
        <v>0</v>
      </c>
      <c r="X13" s="20">
        <v>0</v>
      </c>
      <c r="Y13" s="8">
        <v>-78.55</v>
      </c>
      <c r="Z13" s="20">
        <v>0.82609999999999995</v>
      </c>
      <c r="AA13" s="9">
        <v>304.10000000000002</v>
      </c>
      <c r="AB13" s="10">
        <v>73.7</v>
      </c>
      <c r="AC13" s="2">
        <v>44.01</v>
      </c>
      <c r="AD13" s="11">
        <v>0.2389</v>
      </c>
      <c r="AE13" s="11">
        <v>9.3899999999999997E-2</v>
      </c>
    </row>
    <row r="14" spans="1:31" x14ac:dyDescent="0.25">
      <c r="A14" s="1" t="s">
        <v>33</v>
      </c>
      <c r="B14" s="20">
        <v>0</v>
      </c>
      <c r="C14" s="8">
        <v>-59.651998901367897</v>
      </c>
      <c r="D14" s="20">
        <v>0.78914089516887498</v>
      </c>
      <c r="E14" s="10">
        <v>100.45</v>
      </c>
      <c r="F14" s="10">
        <v>90.08</v>
      </c>
      <c r="G14" s="2">
        <v>34.08</v>
      </c>
      <c r="H14" s="11">
        <v>8.1000000238418607E-2</v>
      </c>
      <c r="I14" s="11">
        <v>9.7999900579452501E-2</v>
      </c>
      <c r="K14" s="1">
        <v>788.40802001953102</v>
      </c>
      <c r="L14" s="15" t="e">
        <f t="shared" si="1"/>
        <v>#NUM!</v>
      </c>
      <c r="M14" s="2">
        <f t="shared" si="0"/>
        <v>213.49800109863207</v>
      </c>
      <c r="O14" s="1">
        <v>38.439230864622303</v>
      </c>
      <c r="U14" s="11">
        <v>0</v>
      </c>
      <c r="V14" s="11">
        <v>0</v>
      </c>
      <c r="X14" s="20">
        <v>0</v>
      </c>
      <c r="Y14" s="8">
        <v>-59.65</v>
      </c>
      <c r="Z14" s="20">
        <v>0.78910000000000002</v>
      </c>
      <c r="AA14" s="9">
        <v>373.6</v>
      </c>
      <c r="AB14" s="10">
        <v>90.1</v>
      </c>
      <c r="AC14" s="2">
        <v>34.08</v>
      </c>
      <c r="AD14" s="11">
        <v>8.1000000000000003E-2</v>
      </c>
      <c r="AE14" s="11">
        <v>9.8000000000000004E-2</v>
      </c>
    </row>
    <row r="15" spans="1:31" x14ac:dyDescent="0.25">
      <c r="A15" s="1" t="s">
        <v>34</v>
      </c>
      <c r="B15" s="20">
        <v>0</v>
      </c>
      <c r="C15" s="8">
        <v>-47.750997924804899</v>
      </c>
      <c r="D15" s="20">
        <v>0.52143927774708798</v>
      </c>
      <c r="E15" s="10">
        <v>91.85</v>
      </c>
      <c r="F15" s="10">
        <v>46.2</v>
      </c>
      <c r="G15" s="2">
        <v>42.080600738525298</v>
      </c>
      <c r="H15" s="11">
        <v>0.14800000190734899</v>
      </c>
      <c r="I15" s="11">
        <v>0.18095000088214899</v>
      </c>
      <c r="K15" s="1">
        <v>520.95501708984398</v>
      </c>
      <c r="L15" s="15" t="e">
        <f t="shared" si="1"/>
        <v>#NUM!</v>
      </c>
      <c r="M15" s="2">
        <f t="shared" si="0"/>
        <v>225.39900207519509</v>
      </c>
      <c r="O15" s="1">
        <v>33.822114811841701</v>
      </c>
      <c r="U15" s="11">
        <v>1.06623683391351E-2</v>
      </c>
      <c r="V15" s="11">
        <v>0</v>
      </c>
      <c r="X15" s="20">
        <v>0</v>
      </c>
      <c r="Y15" s="8">
        <v>-47.75</v>
      </c>
      <c r="Z15" s="20">
        <v>0.52139999999999997</v>
      </c>
      <c r="AA15" s="9">
        <v>365</v>
      </c>
      <c r="AB15" s="10">
        <v>46.2</v>
      </c>
      <c r="AC15" s="2">
        <v>42.08</v>
      </c>
      <c r="AD15" s="11">
        <v>0.14799999999999999</v>
      </c>
      <c r="AE15" s="11">
        <v>0.18099999999999999</v>
      </c>
    </row>
    <row r="16" spans="1:31" ht="14.25" customHeight="1" x14ac:dyDescent="0.25">
      <c r="A16" s="24" t="s">
        <v>35</v>
      </c>
      <c r="B16" s="20">
        <v>2.81E-2</v>
      </c>
      <c r="C16" s="8">
        <v>-42.101995849609899</v>
      </c>
      <c r="D16" s="20">
        <v>0.50714899830793203</v>
      </c>
      <c r="E16" s="23">
        <v>96.75</v>
      </c>
      <c r="F16" s="23">
        <v>42.57</v>
      </c>
      <c r="G16" s="2">
        <v>44.097000122070298</v>
      </c>
      <c r="H16" s="11">
        <v>0.152400001883507</v>
      </c>
      <c r="I16" s="11">
        <v>0.20000000298023199</v>
      </c>
      <c r="J16" s="21"/>
      <c r="K16" s="1">
        <v>506.67800903320301</v>
      </c>
      <c r="L16" s="15" t="e">
        <f t="shared" si="1"/>
        <v>#NUM!</v>
      </c>
      <c r="M16" s="2">
        <f t="shared" si="0"/>
        <v>231.04800415039008</v>
      </c>
      <c r="O16" s="1">
        <v>32.369211791261897</v>
      </c>
      <c r="R16" s="20"/>
      <c r="U16" s="11">
        <v>2.0381572528410798E-2</v>
      </c>
      <c r="V16" s="11">
        <v>0.5</v>
      </c>
      <c r="X16" s="20">
        <v>2.81E-2</v>
      </c>
      <c r="Y16" s="8">
        <v>-42.1</v>
      </c>
      <c r="Z16" s="20">
        <v>0.5071</v>
      </c>
      <c r="AA16" s="22">
        <v>369.9</v>
      </c>
      <c r="AB16" s="23">
        <v>42.6</v>
      </c>
      <c r="AC16" s="2">
        <v>44.1</v>
      </c>
      <c r="AD16" s="11">
        <v>0.15240000000000001</v>
      </c>
      <c r="AE16" s="11">
        <v>0.2</v>
      </c>
    </row>
    <row r="17" spans="1:31" x14ac:dyDescent="0.25">
      <c r="A17" s="1" t="s">
        <v>36</v>
      </c>
      <c r="B17" s="20">
        <v>1.5599999999999999E-2</v>
      </c>
      <c r="C17" s="8">
        <v>-11.729986572266</v>
      </c>
      <c r="D17" s="20">
        <v>0.56248838638240195</v>
      </c>
      <c r="E17" s="23">
        <v>134.94999999999999</v>
      </c>
      <c r="F17" s="23">
        <v>36.479999999999997</v>
      </c>
      <c r="G17" s="2">
        <v>58.124000549316399</v>
      </c>
      <c r="H17" s="11">
        <v>0.18479000031948101</v>
      </c>
      <c r="I17" s="11">
        <v>0.26300001144409202</v>
      </c>
      <c r="J17" s="21"/>
      <c r="K17" s="1">
        <v>561.96600341796898</v>
      </c>
      <c r="L17" s="15" t="e">
        <f t="shared" si="1"/>
        <v>#NUM!</v>
      </c>
      <c r="M17" s="2">
        <f t="shared" si="0"/>
        <v>261.42001342773398</v>
      </c>
      <c r="O17" s="1">
        <v>26.009694744803198</v>
      </c>
      <c r="R17" s="20"/>
      <c r="U17" s="11">
        <v>1.23216853021791E-2</v>
      </c>
      <c r="V17" s="11">
        <v>0</v>
      </c>
      <c r="X17" s="20">
        <v>1.5599999999999999E-2</v>
      </c>
      <c r="Y17" s="8">
        <v>-11.73</v>
      </c>
      <c r="Z17" s="20">
        <v>0.5625</v>
      </c>
      <c r="AA17" s="22">
        <v>408.1</v>
      </c>
      <c r="AB17" s="23">
        <v>36.5</v>
      </c>
      <c r="AC17" s="2">
        <v>58.12</v>
      </c>
      <c r="AD17" s="11">
        <v>0.18479999999999999</v>
      </c>
      <c r="AE17" s="11">
        <v>0.26300000000000001</v>
      </c>
    </row>
    <row r="18" spans="1:31" x14ac:dyDescent="0.25">
      <c r="A18" s="1" t="s">
        <v>37</v>
      </c>
      <c r="B18" s="20">
        <v>5.8700000000000002E-2</v>
      </c>
      <c r="C18" s="8">
        <v>-0.50198974609395397</v>
      </c>
      <c r="D18" s="20">
        <v>0.58376516516983101</v>
      </c>
      <c r="E18" s="23">
        <v>152.05000000000001</v>
      </c>
      <c r="F18" s="23">
        <v>37.97</v>
      </c>
      <c r="G18" s="2">
        <v>58.124000549316399</v>
      </c>
      <c r="H18" s="11">
        <v>0.20100000500678999</v>
      </c>
      <c r="I18" s="11">
        <v>0.25499001145362898</v>
      </c>
      <c r="J18" s="21"/>
      <c r="K18" s="1">
        <v>583.22302246093795</v>
      </c>
      <c r="L18" s="15" t="e">
        <f t="shared" si="1"/>
        <v>#NUM!</v>
      </c>
      <c r="M18" s="2">
        <f t="shared" si="0"/>
        <v>272.64801025390602</v>
      </c>
      <c r="O18" s="1">
        <v>24.336473143625799</v>
      </c>
      <c r="U18" s="11">
        <v>2.6445790548336099E-2</v>
      </c>
      <c r="V18" s="11">
        <v>0.5</v>
      </c>
      <c r="X18" s="20">
        <v>5.8700000000000002E-2</v>
      </c>
      <c r="Y18" s="8">
        <v>-0.5</v>
      </c>
      <c r="Z18" s="20">
        <v>0.58379999999999999</v>
      </c>
      <c r="AA18" s="22">
        <v>425.2</v>
      </c>
      <c r="AB18" s="23">
        <v>38</v>
      </c>
      <c r="AC18" s="2">
        <v>58.12</v>
      </c>
      <c r="AD18" s="11">
        <v>0.20100000000000001</v>
      </c>
      <c r="AE18" s="11">
        <v>0.255</v>
      </c>
    </row>
    <row r="19" spans="1:31" x14ac:dyDescent="0.25">
      <c r="A19" s="1" t="s">
        <v>38</v>
      </c>
      <c r="B19" s="20">
        <v>9.2999999999999992E-3</v>
      </c>
      <c r="C19" s="8">
        <v>27.878015136717998</v>
      </c>
      <c r="D19" s="20">
        <v>0.62402154541078503</v>
      </c>
      <c r="E19" s="10">
        <v>187.25</v>
      </c>
      <c r="F19" s="10">
        <v>33.340000000000003</v>
      </c>
      <c r="G19" s="2">
        <v>72.1510009765625</v>
      </c>
      <c r="H19" s="11">
        <v>0.222240000963211</v>
      </c>
      <c r="I19" s="11">
        <v>0.30799001455307001</v>
      </c>
      <c r="K19" s="1">
        <v>623.44201660156295</v>
      </c>
      <c r="L19" s="15" t="e">
        <f t="shared" si="1"/>
        <v>#NUM!</v>
      </c>
      <c r="M19" s="2">
        <f t="shared" si="0"/>
        <v>301.02801513671795</v>
      </c>
      <c r="O19" s="1">
        <v>19.245289615313599</v>
      </c>
      <c r="U19" s="11">
        <v>4.4726719987158499E-2</v>
      </c>
      <c r="V19" s="11">
        <v>0</v>
      </c>
      <c r="X19" s="20">
        <v>9.2999999999999992E-3</v>
      </c>
      <c r="Y19" s="8">
        <v>27.88</v>
      </c>
      <c r="Z19" s="20">
        <v>0.624</v>
      </c>
      <c r="AA19" s="9">
        <v>460.4</v>
      </c>
      <c r="AB19" s="10">
        <v>33.299999999999997</v>
      </c>
      <c r="AC19" s="2">
        <v>72.150000000000006</v>
      </c>
      <c r="AD19" s="11">
        <v>0.22220000000000001</v>
      </c>
      <c r="AE19" s="11">
        <v>0.308</v>
      </c>
    </row>
    <row r="20" spans="1:31" x14ac:dyDescent="0.25">
      <c r="A20" s="1" t="s">
        <v>39</v>
      </c>
      <c r="B20" s="20">
        <v>9.2999999999999992E-3</v>
      </c>
      <c r="C20" s="8">
        <v>36.059014892577999</v>
      </c>
      <c r="D20" s="20">
        <v>0.63031437686804703</v>
      </c>
      <c r="E20" s="10">
        <v>196.45</v>
      </c>
      <c r="F20" s="10">
        <v>33.75</v>
      </c>
      <c r="G20" s="2">
        <v>72.1510009765625</v>
      </c>
      <c r="H20" s="11">
        <v>0.25389000773429898</v>
      </c>
      <c r="I20" s="11">
        <v>0.31099000573158297</v>
      </c>
      <c r="K20" s="1">
        <v>629.72900390625</v>
      </c>
      <c r="L20" s="15" t="e">
        <f t="shared" si="1"/>
        <v>#NUM!</v>
      </c>
      <c r="M20" s="2">
        <f t="shared" si="0"/>
        <v>309.20901489257795</v>
      </c>
      <c r="O20" s="1">
        <v>18.7106987974501</v>
      </c>
      <c r="U20" s="11">
        <v>0</v>
      </c>
      <c r="V20" s="11">
        <v>0</v>
      </c>
      <c r="X20" s="20">
        <v>9.2999999999999992E-3</v>
      </c>
      <c r="Y20" s="8">
        <v>36.06</v>
      </c>
      <c r="Z20" s="20">
        <v>0.63029999999999997</v>
      </c>
      <c r="AA20" s="9">
        <v>469.6</v>
      </c>
      <c r="AB20" s="10">
        <v>33.799999999999997</v>
      </c>
      <c r="AC20" s="2">
        <v>72.150000000000006</v>
      </c>
      <c r="AD20" s="11">
        <v>0.25390000000000001</v>
      </c>
      <c r="AE20" s="11">
        <v>0.311</v>
      </c>
    </row>
    <row r="21" spans="1:31" x14ac:dyDescent="0.25">
      <c r="A21" s="1" t="s">
        <v>40</v>
      </c>
      <c r="B21" s="20">
        <v>5.8999999999999999E-3</v>
      </c>
      <c r="C21" s="8">
        <v>38</v>
      </c>
      <c r="D21" s="20">
        <v>0.67823523306671696</v>
      </c>
      <c r="E21" s="10">
        <v>210.01</v>
      </c>
      <c r="F21" s="10">
        <v>37.65</v>
      </c>
      <c r="G21" s="2">
        <v>72.150000000000006</v>
      </c>
      <c r="H21" s="11">
        <v>0.212141148006318</v>
      </c>
      <c r="I21" s="11">
        <v>0.29070461991971702</v>
      </c>
      <c r="K21" s="1">
        <v>615.04897094179103</v>
      </c>
      <c r="L21" s="15" t="e">
        <f t="shared" si="1"/>
        <v>#NUM!</v>
      </c>
      <c r="M21" s="2">
        <f t="shared" si="0"/>
        <v>311.14999999999998</v>
      </c>
      <c r="O21" s="1">
        <v>19.242933392365099</v>
      </c>
      <c r="U21" s="11">
        <v>0</v>
      </c>
      <c r="V21" s="11">
        <v>0</v>
      </c>
      <c r="X21" s="20">
        <v>5.8999999999999999E-3</v>
      </c>
      <c r="Y21" s="8">
        <v>38</v>
      </c>
      <c r="Z21" s="20">
        <v>0.67820000000000003</v>
      </c>
      <c r="AA21" s="9">
        <v>483.16</v>
      </c>
      <c r="AB21" s="10">
        <v>37.700000000000003</v>
      </c>
      <c r="AC21" s="2">
        <v>72.150000000000006</v>
      </c>
      <c r="AD21" s="11">
        <v>0.21210000000000001</v>
      </c>
      <c r="AE21" s="11">
        <v>0.29070000000000001</v>
      </c>
    </row>
    <row r="22" spans="1:31" x14ac:dyDescent="0.25">
      <c r="A22" s="1" t="s">
        <v>41</v>
      </c>
      <c r="B22" s="20">
        <v>2.07E-2</v>
      </c>
      <c r="C22" s="8">
        <v>45</v>
      </c>
      <c r="D22" s="20">
        <v>0.68513229697782396</v>
      </c>
      <c r="E22" s="10">
        <v>218.28</v>
      </c>
      <c r="F22" s="10">
        <v>36.74</v>
      </c>
      <c r="G22" s="2">
        <v>75.819999999999993</v>
      </c>
      <c r="H22" s="11">
        <v>0.22228355380063999</v>
      </c>
      <c r="I22" s="11">
        <v>0.30202767491327898</v>
      </c>
      <c r="K22" s="1">
        <v>631.80617231481494</v>
      </c>
      <c r="L22" s="15" t="e">
        <f t="shared" si="1"/>
        <v>#NUM!</v>
      </c>
      <c r="M22" s="2">
        <f t="shared" si="0"/>
        <v>318.14999999999998</v>
      </c>
      <c r="O22" s="1">
        <v>18.067687911501299</v>
      </c>
      <c r="U22" s="11">
        <v>8.2997891726613992E-3</v>
      </c>
      <c r="V22" s="11">
        <v>0</v>
      </c>
      <c r="X22" s="20">
        <v>2.07E-2</v>
      </c>
      <c r="Y22" s="8">
        <v>45</v>
      </c>
      <c r="Z22" s="20">
        <v>0.68510000000000004</v>
      </c>
      <c r="AA22" s="9">
        <v>491.43</v>
      </c>
      <c r="AB22" s="10">
        <v>36.700000000000003</v>
      </c>
      <c r="AC22" s="2">
        <v>75.819999999999993</v>
      </c>
      <c r="AD22" s="11">
        <v>0.2223</v>
      </c>
      <c r="AE22" s="11">
        <v>0.30199999999999999</v>
      </c>
    </row>
    <row r="23" spans="1:31" x14ac:dyDescent="0.25">
      <c r="A23" s="1" t="s">
        <v>42</v>
      </c>
      <c r="B23" s="20">
        <v>2.8299999999999999E-2</v>
      </c>
      <c r="C23" s="8">
        <v>55</v>
      </c>
      <c r="D23" s="20">
        <v>0.69498524542226203</v>
      </c>
      <c r="E23" s="10">
        <v>230.1</v>
      </c>
      <c r="F23" s="10">
        <v>35.54</v>
      </c>
      <c r="G23" s="2">
        <v>77.91</v>
      </c>
      <c r="H23" s="11">
        <v>0.236538812357411</v>
      </c>
      <c r="I23" s="11">
        <v>0.31828367051888201</v>
      </c>
      <c r="K23" s="1">
        <v>655.15354080776694</v>
      </c>
      <c r="L23" s="15" t="e">
        <f t="shared" si="1"/>
        <v>#NUM!</v>
      </c>
      <c r="M23" s="2">
        <f t="shared" si="0"/>
        <v>328.15</v>
      </c>
      <c r="O23" s="1">
        <v>16.479541849767301</v>
      </c>
      <c r="U23" s="11">
        <v>1.77711550080643E-2</v>
      </c>
      <c r="V23" s="11">
        <v>0</v>
      </c>
      <c r="X23" s="20">
        <v>2.8299999999999999E-2</v>
      </c>
      <c r="Y23" s="8">
        <v>55</v>
      </c>
      <c r="Z23" s="20">
        <v>0.69499999999999995</v>
      </c>
      <c r="AA23" s="9">
        <v>503.25</v>
      </c>
      <c r="AB23" s="10">
        <v>35.5</v>
      </c>
      <c r="AC23" s="2">
        <v>77.91</v>
      </c>
      <c r="AD23" s="11">
        <v>0.23649999999999999</v>
      </c>
      <c r="AE23" s="11">
        <v>0.31830000000000003</v>
      </c>
    </row>
    <row r="24" spans="1:31" x14ac:dyDescent="0.25">
      <c r="A24" s="1" t="s">
        <v>43</v>
      </c>
      <c r="B24" s="20">
        <v>2.7699999999999999E-2</v>
      </c>
      <c r="C24" s="8">
        <v>65</v>
      </c>
      <c r="D24" s="20">
        <v>0.70483819386670099</v>
      </c>
      <c r="E24" s="10">
        <v>241.92</v>
      </c>
      <c r="F24" s="10">
        <v>34.450000000000003</v>
      </c>
      <c r="G24" s="2">
        <v>81.47</v>
      </c>
      <c r="H24" s="11">
        <v>0.250515093553696</v>
      </c>
      <c r="I24" s="11">
        <v>0.33463920442351303</v>
      </c>
      <c r="K24" s="1">
        <v>677.191781725326</v>
      </c>
      <c r="L24" s="15" t="e">
        <f t="shared" si="1"/>
        <v>#NUM!</v>
      </c>
      <c r="M24" s="2">
        <f t="shared" si="0"/>
        <v>338.15</v>
      </c>
      <c r="O24" s="1">
        <v>14.9690130378359</v>
      </c>
      <c r="U24" s="11">
        <v>1.6765819662271701E-2</v>
      </c>
      <c r="V24" s="11">
        <v>0</v>
      </c>
      <c r="X24" s="20">
        <v>2.7699999999999999E-2</v>
      </c>
      <c r="Y24" s="8">
        <v>65</v>
      </c>
      <c r="Z24" s="20">
        <v>0.70479999999999998</v>
      </c>
      <c r="AA24" s="9">
        <v>515.07000000000005</v>
      </c>
      <c r="AB24" s="10">
        <v>34.5</v>
      </c>
      <c r="AC24" s="2">
        <v>81.47</v>
      </c>
      <c r="AD24" s="11">
        <v>0.2505</v>
      </c>
      <c r="AE24" s="11">
        <v>0.33460000000000001</v>
      </c>
    </row>
    <row r="25" spans="1:31" x14ac:dyDescent="0.25">
      <c r="A25" s="1" t="s">
        <v>44</v>
      </c>
      <c r="B25" s="20">
        <v>2.7699999999999999E-2</v>
      </c>
      <c r="C25" s="8">
        <v>75</v>
      </c>
      <c r="D25" s="20">
        <v>0.71665375103676499</v>
      </c>
      <c r="E25" s="10">
        <v>254.24</v>
      </c>
      <c r="F25" s="10">
        <v>33.61</v>
      </c>
      <c r="G25" s="2">
        <v>86.24</v>
      </c>
      <c r="H25" s="11">
        <v>0.26241449004434098</v>
      </c>
      <c r="I25" s="11">
        <v>0.34984264189450098</v>
      </c>
      <c r="K25" s="1">
        <v>697.23949921426595</v>
      </c>
      <c r="L25" s="15" t="e">
        <f t="shared" si="1"/>
        <v>#NUM!</v>
      </c>
      <c r="M25" s="2">
        <f t="shared" si="0"/>
        <v>348.15</v>
      </c>
      <c r="O25" s="1">
        <v>13.653083605864801</v>
      </c>
      <c r="U25" s="11">
        <v>1.85036024265589E-2</v>
      </c>
      <c r="V25" s="11">
        <v>0</v>
      </c>
      <c r="X25" s="20">
        <v>2.7699999999999999E-2</v>
      </c>
      <c r="Y25" s="8">
        <v>75</v>
      </c>
      <c r="Z25" s="20">
        <v>0.7167</v>
      </c>
      <c r="AA25" s="9">
        <v>527.39</v>
      </c>
      <c r="AB25" s="10">
        <v>33.6</v>
      </c>
      <c r="AC25" s="2">
        <v>86.24</v>
      </c>
      <c r="AD25" s="11">
        <v>0.26240000000000002</v>
      </c>
      <c r="AE25" s="11">
        <v>0.3498</v>
      </c>
    </row>
    <row r="26" spans="1:31" x14ac:dyDescent="0.25">
      <c r="A26" s="1" t="s">
        <v>45</v>
      </c>
      <c r="B26" s="20">
        <v>2.8199999999999999E-2</v>
      </c>
      <c r="C26" s="8">
        <v>85</v>
      </c>
      <c r="D26" s="20">
        <v>0.72820235619351004</v>
      </c>
      <c r="E26" s="10">
        <v>266.51</v>
      </c>
      <c r="F26" s="10">
        <v>32.83</v>
      </c>
      <c r="G26" s="2">
        <v>90.25</v>
      </c>
      <c r="H26" s="11">
        <v>0.274343346380167</v>
      </c>
      <c r="I26" s="11">
        <v>0.36512839342858699</v>
      </c>
      <c r="K26" s="1">
        <v>714.61529742136099</v>
      </c>
      <c r="L26" s="15" t="e">
        <f t="shared" si="1"/>
        <v>#NUM!</v>
      </c>
      <c r="M26" s="2">
        <f t="shared" si="0"/>
        <v>358.15</v>
      </c>
      <c r="O26" s="1">
        <v>12.469239516757099</v>
      </c>
      <c r="U26" s="11">
        <v>2.5621093917005299E-2</v>
      </c>
      <c r="V26" s="11">
        <v>0</v>
      </c>
      <c r="X26" s="20">
        <v>2.8199999999999999E-2</v>
      </c>
      <c r="Y26" s="8">
        <v>85</v>
      </c>
      <c r="Z26" s="20">
        <v>0.72819999999999996</v>
      </c>
      <c r="AA26" s="9">
        <v>539.66</v>
      </c>
      <c r="AB26" s="10">
        <v>32.799999999999997</v>
      </c>
      <c r="AC26" s="2">
        <v>90.25</v>
      </c>
      <c r="AD26" s="11">
        <v>0.27429999999999999</v>
      </c>
      <c r="AE26" s="11">
        <v>0.36509999999999998</v>
      </c>
    </row>
    <row r="27" spans="1:31" x14ac:dyDescent="0.25">
      <c r="A27" s="1" t="s">
        <v>46</v>
      </c>
      <c r="B27" s="20">
        <v>2.9000000000000001E-2</v>
      </c>
      <c r="C27" s="8">
        <v>95</v>
      </c>
      <c r="D27" s="20">
        <v>0.73896977589703094</v>
      </c>
      <c r="E27" s="10">
        <v>278.57</v>
      </c>
      <c r="F27" s="10">
        <v>32.049999999999997</v>
      </c>
      <c r="G27" s="2">
        <v>94.82</v>
      </c>
      <c r="H27" s="11">
        <v>0.28682520954180202</v>
      </c>
      <c r="I27" s="11">
        <v>0.38085940041095201</v>
      </c>
      <c r="K27" s="1">
        <v>728.637780493386</v>
      </c>
      <c r="L27" s="15" t="e">
        <f t="shared" si="1"/>
        <v>#NUM!</v>
      </c>
      <c r="M27" s="2">
        <f t="shared" si="0"/>
        <v>368.15</v>
      </c>
      <c r="O27" s="1">
        <v>11.428015355472301</v>
      </c>
      <c r="U27" s="11">
        <v>3.4351087821298497E-2</v>
      </c>
      <c r="V27" s="11">
        <v>0</v>
      </c>
      <c r="X27" s="20">
        <v>2.9000000000000001E-2</v>
      </c>
      <c r="Y27" s="8">
        <v>95</v>
      </c>
      <c r="Z27" s="20">
        <v>0.73899999999999999</v>
      </c>
      <c r="AA27" s="9">
        <v>551.72</v>
      </c>
      <c r="AB27" s="10">
        <v>32.1</v>
      </c>
      <c r="AC27" s="2">
        <v>94.82</v>
      </c>
      <c r="AD27" s="11">
        <v>0.2868</v>
      </c>
      <c r="AE27" s="11">
        <v>0.38090000000000002</v>
      </c>
    </row>
    <row r="28" spans="1:31" x14ac:dyDescent="0.25">
      <c r="A28" s="1" t="s">
        <v>47</v>
      </c>
      <c r="B28" s="20">
        <v>3.1099999999999999E-2</v>
      </c>
      <c r="C28" s="8">
        <v>105</v>
      </c>
      <c r="D28" s="20">
        <v>0.74855478495306604</v>
      </c>
      <c r="E28" s="10">
        <v>290.32</v>
      </c>
      <c r="F28" s="10">
        <v>31.23</v>
      </c>
      <c r="G28" s="2">
        <v>99.11</v>
      </c>
      <c r="H28" s="11">
        <v>0.30026249684385198</v>
      </c>
      <c r="I28" s="11">
        <v>0.39741944097721199</v>
      </c>
      <c r="K28" s="1">
        <v>738.62555257711597</v>
      </c>
      <c r="L28" s="15" t="e">
        <f t="shared" si="1"/>
        <v>#NUM!</v>
      </c>
      <c r="M28" s="2">
        <f t="shared" si="0"/>
        <v>378.15</v>
      </c>
      <c r="O28" s="1">
        <v>10.470855072874899</v>
      </c>
      <c r="U28" s="11">
        <v>3.6067166684145301E-2</v>
      </c>
      <c r="V28" s="11">
        <v>0</v>
      </c>
      <c r="X28" s="20">
        <v>3.1099999999999999E-2</v>
      </c>
      <c r="Y28" s="8">
        <v>105</v>
      </c>
      <c r="Z28" s="20">
        <v>0.74860000000000004</v>
      </c>
      <c r="AA28" s="9">
        <v>563.47</v>
      </c>
      <c r="AB28" s="10">
        <v>31.2</v>
      </c>
      <c r="AC28" s="2">
        <v>99.11</v>
      </c>
      <c r="AD28" s="11">
        <v>0.30030000000000001</v>
      </c>
      <c r="AE28" s="11">
        <v>0.39739999999999998</v>
      </c>
    </row>
    <row r="29" spans="1:31" x14ac:dyDescent="0.25">
      <c r="A29" s="1" t="s">
        <v>48</v>
      </c>
      <c r="B29" s="20">
        <v>3.3000000000000002E-2</v>
      </c>
      <c r="C29" s="8">
        <v>115</v>
      </c>
      <c r="D29" s="20">
        <v>0.75655615816735899</v>
      </c>
      <c r="E29" s="10">
        <v>301.61</v>
      </c>
      <c r="F29" s="10">
        <v>30.35</v>
      </c>
      <c r="G29" s="2">
        <v>104.52</v>
      </c>
      <c r="H29" s="11">
        <v>0.31507065365867598</v>
      </c>
      <c r="I29" s="11">
        <v>0.41528334130496702</v>
      </c>
      <c r="K29" s="1">
        <v>743.89721781932303</v>
      </c>
      <c r="L29" s="15" t="e">
        <f t="shared" si="1"/>
        <v>#NUM!</v>
      </c>
      <c r="M29" s="2">
        <f t="shared" si="0"/>
        <v>388.15</v>
      </c>
      <c r="O29" s="1">
        <v>9.6078978253534899</v>
      </c>
      <c r="U29" s="11">
        <v>2.8924210772627398E-2</v>
      </c>
      <c r="V29" s="11">
        <v>0</v>
      </c>
      <c r="X29" s="20">
        <v>3.3000000000000002E-2</v>
      </c>
      <c r="Y29" s="8">
        <v>115</v>
      </c>
      <c r="Z29" s="20">
        <v>0.75660000000000005</v>
      </c>
      <c r="AA29" s="9">
        <v>574.76</v>
      </c>
      <c r="AB29" s="10">
        <v>30.4</v>
      </c>
      <c r="AC29" s="2">
        <v>104.52</v>
      </c>
      <c r="AD29" s="11">
        <v>0.31509999999999999</v>
      </c>
      <c r="AE29" s="11">
        <v>0.4153</v>
      </c>
    </row>
    <row r="30" spans="1:31" x14ac:dyDescent="0.25">
      <c r="A30" s="1" t="s">
        <v>49</v>
      </c>
      <c r="B30" s="20">
        <v>3.3500000000000002E-2</v>
      </c>
      <c r="C30" s="8">
        <v>125</v>
      </c>
      <c r="D30" s="20">
        <v>0.76257842816977905</v>
      </c>
      <c r="E30" s="10">
        <v>312.32</v>
      </c>
      <c r="F30" s="10">
        <v>29.35</v>
      </c>
      <c r="G30" s="2">
        <v>111.05</v>
      </c>
      <c r="H30" s="11">
        <v>0.33172051543924502</v>
      </c>
      <c r="I30" s="11">
        <v>0.435007975839177</v>
      </c>
      <c r="K30" s="1">
        <v>745.38989143344304</v>
      </c>
      <c r="L30" s="15" t="e">
        <f t="shared" si="1"/>
        <v>#NUM!</v>
      </c>
      <c r="M30" s="2">
        <f t="shared" si="0"/>
        <v>398.15</v>
      </c>
      <c r="O30" s="1">
        <v>8.8013904180168296</v>
      </c>
      <c r="U30" s="11">
        <v>3.0215054205017799E-2</v>
      </c>
      <c r="V30" s="11">
        <v>0</v>
      </c>
      <c r="X30" s="20">
        <v>3.3500000000000002E-2</v>
      </c>
      <c r="Y30" s="8">
        <v>125</v>
      </c>
      <c r="Z30" s="20">
        <v>0.76259999999999994</v>
      </c>
      <c r="AA30" s="9">
        <v>585.47</v>
      </c>
      <c r="AB30" s="10">
        <v>29.4</v>
      </c>
      <c r="AC30" s="2">
        <v>111.05</v>
      </c>
      <c r="AD30" s="11">
        <v>0.33169999999999999</v>
      </c>
      <c r="AE30" s="11">
        <v>0.435</v>
      </c>
    </row>
    <row r="31" spans="1:31" x14ac:dyDescent="0.25">
      <c r="A31" s="1" t="s">
        <v>50</v>
      </c>
      <c r="B31" s="20">
        <v>3.27E-2</v>
      </c>
      <c r="C31" s="8">
        <v>135</v>
      </c>
      <c r="D31" s="20">
        <v>0.76672884609302305</v>
      </c>
      <c r="E31" s="10">
        <v>322.44</v>
      </c>
      <c r="F31" s="10">
        <v>28.27</v>
      </c>
      <c r="G31" s="2">
        <v>116.1</v>
      </c>
      <c r="H31" s="11">
        <v>0.35030843828277303</v>
      </c>
      <c r="I31" s="11">
        <v>0.45675955890972297</v>
      </c>
      <c r="K31" s="1">
        <v>750.97134391153497</v>
      </c>
      <c r="L31" s="15" t="e">
        <f t="shared" si="1"/>
        <v>#NUM!</v>
      </c>
      <c r="M31" s="2">
        <f t="shared" si="0"/>
        <v>408.15</v>
      </c>
      <c r="O31" s="1">
        <v>8.0455739808501097</v>
      </c>
      <c r="U31" s="11">
        <v>3.3087600436298902E-2</v>
      </c>
      <c r="V31" s="11">
        <v>0</v>
      </c>
      <c r="X31" s="20">
        <v>3.27E-2</v>
      </c>
      <c r="Y31" s="8">
        <v>135</v>
      </c>
      <c r="Z31" s="20">
        <v>0.76670000000000005</v>
      </c>
      <c r="AA31" s="9">
        <v>595.59</v>
      </c>
      <c r="AB31" s="10">
        <v>28.3</v>
      </c>
      <c r="AC31" s="2">
        <v>116.1</v>
      </c>
      <c r="AD31" s="11">
        <v>0.3503</v>
      </c>
      <c r="AE31" s="11">
        <v>0.45679999999999998</v>
      </c>
    </row>
    <row r="32" spans="1:31" x14ac:dyDescent="0.25">
      <c r="A32" s="1" t="s">
        <v>51</v>
      </c>
      <c r="B32" s="20">
        <v>3.0800000000000001E-2</v>
      </c>
      <c r="C32" s="8">
        <v>145</v>
      </c>
      <c r="D32" s="20">
        <v>0.76999915911086603</v>
      </c>
      <c r="E32" s="10">
        <v>332.23</v>
      </c>
      <c r="F32" s="10">
        <v>27.17</v>
      </c>
      <c r="G32" s="2">
        <v>121.8</v>
      </c>
      <c r="H32" s="11">
        <v>0.37006037559628402</v>
      </c>
      <c r="I32" s="11">
        <v>0.47983047412834001</v>
      </c>
      <c r="K32" s="1">
        <v>760.04398077925498</v>
      </c>
      <c r="L32" s="15" t="e">
        <f t="shared" si="1"/>
        <v>#NUM!</v>
      </c>
      <c r="M32" s="2">
        <f t="shared" si="0"/>
        <v>418.15</v>
      </c>
      <c r="O32" s="1">
        <v>7.30387095330794</v>
      </c>
      <c r="U32" s="11">
        <v>3.1816784999015503E-2</v>
      </c>
      <c r="V32" s="11">
        <v>0</v>
      </c>
      <c r="X32" s="20">
        <v>3.0800000000000001E-2</v>
      </c>
      <c r="Y32" s="8">
        <v>145</v>
      </c>
      <c r="Z32" s="20">
        <v>0.77</v>
      </c>
      <c r="AA32" s="9">
        <v>605.38</v>
      </c>
      <c r="AB32" s="10">
        <v>27.2</v>
      </c>
      <c r="AC32" s="2">
        <v>121.8</v>
      </c>
      <c r="AD32" s="11">
        <v>0.37009999999999998</v>
      </c>
      <c r="AE32" s="11">
        <v>0.4798</v>
      </c>
    </row>
    <row r="33" spans="1:31" x14ac:dyDescent="0.25">
      <c r="A33" s="1" t="s">
        <v>52</v>
      </c>
      <c r="B33" s="20">
        <v>2.8799999999999999E-2</v>
      </c>
      <c r="C33" s="8">
        <v>155</v>
      </c>
      <c r="D33" s="20">
        <v>0.77347085442228403</v>
      </c>
      <c r="E33" s="10">
        <v>341.98</v>
      </c>
      <c r="F33" s="10">
        <v>26.15</v>
      </c>
      <c r="G33" s="2">
        <v>127.15</v>
      </c>
      <c r="H33" s="11">
        <v>0.38991222948423199</v>
      </c>
      <c r="I33" s="11">
        <v>0.50326487538210296</v>
      </c>
      <c r="K33" s="1">
        <v>770.54380866630504</v>
      </c>
      <c r="L33" s="15" t="e">
        <f t="shared" si="1"/>
        <v>#NUM!</v>
      </c>
      <c r="M33" s="2">
        <f t="shared" si="0"/>
        <v>428.15</v>
      </c>
      <c r="O33" s="1">
        <v>6.6260688306193396</v>
      </c>
      <c r="U33" s="11">
        <v>3.0822050996536E-2</v>
      </c>
      <c r="V33" s="11">
        <v>0</v>
      </c>
      <c r="X33" s="20">
        <v>2.8799999999999999E-2</v>
      </c>
      <c r="Y33" s="8">
        <v>155</v>
      </c>
      <c r="Z33" s="20">
        <v>0.77349999999999997</v>
      </c>
      <c r="AA33" s="9">
        <v>615.13</v>
      </c>
      <c r="AB33" s="10">
        <v>26.2</v>
      </c>
      <c r="AC33" s="2">
        <v>127.15</v>
      </c>
      <c r="AD33" s="11">
        <v>0.38990000000000002</v>
      </c>
      <c r="AE33" s="11">
        <v>0.50329999999999997</v>
      </c>
    </row>
    <row r="34" spans="1:31" x14ac:dyDescent="0.25">
      <c r="A34" s="1" t="s">
        <v>53</v>
      </c>
      <c r="B34" s="20">
        <v>2.8199999999999999E-2</v>
      </c>
      <c r="C34" s="8">
        <v>165</v>
      </c>
      <c r="D34" s="20">
        <v>0.77825628074416398</v>
      </c>
      <c r="E34" s="10">
        <v>352.05</v>
      </c>
      <c r="F34" s="10">
        <v>25.28</v>
      </c>
      <c r="G34" s="2">
        <v>132.91</v>
      </c>
      <c r="H34" s="11">
        <v>0.40854483518343399</v>
      </c>
      <c r="I34" s="11">
        <v>0.52588476817531604</v>
      </c>
      <c r="K34" s="1">
        <v>780.40683420238895</v>
      </c>
      <c r="L34" s="15" t="e">
        <f t="shared" si="1"/>
        <v>#NUM!</v>
      </c>
      <c r="M34" s="2">
        <f t="shared" si="0"/>
        <v>438.15</v>
      </c>
      <c r="O34" s="1">
        <v>5.9990862764063104</v>
      </c>
      <c r="U34" s="11">
        <v>2.8494409452016398E-2</v>
      </c>
      <c r="V34" s="11">
        <v>0</v>
      </c>
      <c r="X34" s="20">
        <v>2.8199999999999999E-2</v>
      </c>
      <c r="Y34" s="8">
        <v>165</v>
      </c>
      <c r="Z34" s="20">
        <v>0.77829999999999999</v>
      </c>
      <c r="AA34" s="9">
        <v>625.20000000000005</v>
      </c>
      <c r="AB34" s="10">
        <v>25.3</v>
      </c>
      <c r="AC34" s="2">
        <v>132.91</v>
      </c>
      <c r="AD34" s="11">
        <v>0.40849999999999997</v>
      </c>
      <c r="AE34" s="11">
        <v>0.52590000000000003</v>
      </c>
    </row>
    <row r="35" spans="1:31" x14ac:dyDescent="0.25">
      <c r="A35" s="1" t="s">
        <v>54</v>
      </c>
      <c r="B35" s="20">
        <v>2.5100000000000001E-2</v>
      </c>
      <c r="C35" s="8">
        <v>175</v>
      </c>
      <c r="D35" s="20">
        <v>0.78523561874263004</v>
      </c>
      <c r="E35" s="10">
        <v>362.73</v>
      </c>
      <c r="F35" s="10">
        <v>24.61</v>
      </c>
      <c r="G35" s="2">
        <v>139.16999999999999</v>
      </c>
      <c r="H35" s="11">
        <v>0.42481523553941902</v>
      </c>
      <c r="I35" s="11">
        <v>0.54647801408179597</v>
      </c>
      <c r="K35" s="1">
        <v>787.56906401721005</v>
      </c>
      <c r="L35" s="15" t="e">
        <f t="shared" si="1"/>
        <v>#NUM!</v>
      </c>
      <c r="M35" s="2">
        <f t="shared" si="0"/>
        <v>448.15</v>
      </c>
      <c r="O35" s="1">
        <v>5.4224614165699903</v>
      </c>
      <c r="U35" s="11">
        <v>2.7141588157237599E-2</v>
      </c>
      <c r="V35" s="11">
        <v>0</v>
      </c>
      <c r="X35" s="20">
        <v>2.5100000000000001E-2</v>
      </c>
      <c r="Y35" s="8">
        <v>175</v>
      </c>
      <c r="Z35" s="20">
        <v>0.78520000000000001</v>
      </c>
      <c r="AA35" s="9">
        <v>635.88</v>
      </c>
      <c r="AB35" s="10">
        <v>24.6</v>
      </c>
      <c r="AC35" s="2">
        <v>139.16999999999999</v>
      </c>
      <c r="AD35" s="11">
        <v>0.42480000000000001</v>
      </c>
      <c r="AE35" s="11">
        <v>0.54649999999999999</v>
      </c>
    </row>
    <row r="36" spans="1:31" x14ac:dyDescent="0.25">
      <c r="A36" s="1" t="s">
        <v>55</v>
      </c>
      <c r="B36" s="20">
        <v>2.1399999999999999E-2</v>
      </c>
      <c r="C36" s="8">
        <v>185</v>
      </c>
      <c r="D36" s="20">
        <v>0.79341449647677997</v>
      </c>
      <c r="E36" s="10">
        <v>373.74</v>
      </c>
      <c r="F36" s="10">
        <v>24.06</v>
      </c>
      <c r="G36" s="2">
        <v>145.9</v>
      </c>
      <c r="H36" s="11">
        <v>0.43984131670708598</v>
      </c>
      <c r="I36" s="11">
        <v>0.56572824302429403</v>
      </c>
      <c r="K36" s="1">
        <v>790.03089218769696</v>
      </c>
      <c r="L36" s="15" t="e">
        <f t="shared" si="1"/>
        <v>#NUM!</v>
      </c>
      <c r="M36" s="2">
        <f t="shared" si="0"/>
        <v>458.15</v>
      </c>
      <c r="O36" s="1">
        <v>4.8968179097260904</v>
      </c>
      <c r="U36" s="11">
        <v>2.5436315731970499E-2</v>
      </c>
      <c r="V36" s="11">
        <v>0</v>
      </c>
      <c r="X36" s="20">
        <v>2.1399999999999999E-2</v>
      </c>
      <c r="Y36" s="8">
        <v>185</v>
      </c>
      <c r="Z36" s="20">
        <v>0.79339999999999999</v>
      </c>
      <c r="AA36" s="9">
        <v>646.89</v>
      </c>
      <c r="AB36" s="10">
        <v>24.1</v>
      </c>
      <c r="AC36" s="2">
        <v>145.9</v>
      </c>
      <c r="AD36" s="11">
        <v>0.43980000000000002</v>
      </c>
      <c r="AE36" s="11">
        <v>0.56569999999999998</v>
      </c>
    </row>
    <row r="37" spans="1:31" x14ac:dyDescent="0.25">
      <c r="A37" s="1" t="s">
        <v>56</v>
      </c>
      <c r="B37" s="20">
        <v>1.9300000000000001E-2</v>
      </c>
      <c r="C37" s="8">
        <v>195</v>
      </c>
      <c r="D37" s="20">
        <v>0.80143097142551001</v>
      </c>
      <c r="E37" s="10">
        <v>384.66</v>
      </c>
      <c r="F37" s="10">
        <v>23.54</v>
      </c>
      <c r="G37" s="2">
        <v>152.57</v>
      </c>
      <c r="H37" s="11">
        <v>0.455212043650496</v>
      </c>
      <c r="I37" s="11">
        <v>0.58505426230044399</v>
      </c>
      <c r="K37" s="1">
        <v>793.29327787187901</v>
      </c>
      <c r="L37" s="15" t="e">
        <f t="shared" si="1"/>
        <v>#NUM!</v>
      </c>
      <c r="M37" s="2">
        <f t="shared" si="0"/>
        <v>468.15</v>
      </c>
      <c r="O37" s="1">
        <v>4.4224533357193598</v>
      </c>
      <c r="U37" s="11">
        <v>2.08585390416893E-2</v>
      </c>
      <c r="V37" s="11">
        <v>0</v>
      </c>
      <c r="X37" s="20">
        <v>1.9300000000000001E-2</v>
      </c>
      <c r="Y37" s="8">
        <v>195</v>
      </c>
      <c r="Z37" s="20">
        <v>0.8014</v>
      </c>
      <c r="AA37" s="9">
        <v>657.81</v>
      </c>
      <c r="AB37" s="10">
        <v>23.5</v>
      </c>
      <c r="AC37" s="2">
        <v>152.57</v>
      </c>
      <c r="AD37" s="11">
        <v>0.45519999999999999</v>
      </c>
      <c r="AE37" s="11">
        <v>0.58509999999999995</v>
      </c>
    </row>
    <row r="38" spans="1:31" x14ac:dyDescent="0.25">
      <c r="A38" s="1" t="s">
        <v>57</v>
      </c>
      <c r="B38" s="20">
        <v>1.7899999999999999E-2</v>
      </c>
      <c r="C38" s="8">
        <v>205</v>
      </c>
      <c r="D38" s="20">
        <v>0.80794881229014204</v>
      </c>
      <c r="E38" s="10">
        <v>395.07</v>
      </c>
      <c r="F38" s="10">
        <v>22.94</v>
      </c>
      <c r="G38" s="2">
        <v>159.99</v>
      </c>
      <c r="H38" s="11">
        <v>0.47244154029041402</v>
      </c>
      <c r="I38" s="11">
        <v>0.60631866754361297</v>
      </c>
      <c r="K38" s="1">
        <v>800.39625616431397</v>
      </c>
      <c r="L38" s="15" t="e">
        <f t="shared" si="1"/>
        <v>#NUM!</v>
      </c>
      <c r="M38" s="2">
        <f t="shared" si="0"/>
        <v>478.15</v>
      </c>
      <c r="O38" s="1">
        <v>3.9685839855287299</v>
      </c>
      <c r="U38" s="11">
        <v>1.6932316832274901E-2</v>
      </c>
      <c r="V38" s="11">
        <v>0</v>
      </c>
      <c r="X38" s="20">
        <v>1.7899999999999999E-2</v>
      </c>
      <c r="Y38" s="8">
        <v>205</v>
      </c>
      <c r="Z38" s="20">
        <v>0.80789999999999995</v>
      </c>
      <c r="AA38" s="9">
        <v>668.22</v>
      </c>
      <c r="AB38" s="10">
        <v>22.9</v>
      </c>
      <c r="AC38" s="2">
        <v>159.99</v>
      </c>
      <c r="AD38" s="11">
        <v>0.47239999999999999</v>
      </c>
      <c r="AE38" s="11">
        <v>0.60629999999999995</v>
      </c>
    </row>
    <row r="39" spans="1:31" x14ac:dyDescent="0.25">
      <c r="A39" s="1" t="s">
        <v>58</v>
      </c>
      <c r="B39" s="20">
        <v>1.72E-2</v>
      </c>
      <c r="C39" s="8">
        <v>215</v>
      </c>
      <c r="D39" s="20">
        <v>0.81335763512313397</v>
      </c>
      <c r="E39" s="10">
        <v>405.07</v>
      </c>
      <c r="F39" s="10">
        <v>22.29</v>
      </c>
      <c r="G39" s="2">
        <v>167.38</v>
      </c>
      <c r="H39" s="11">
        <v>0.49112207224032201</v>
      </c>
      <c r="I39" s="11">
        <v>0.62929306603395496</v>
      </c>
      <c r="K39" s="1">
        <v>809.15505308367801</v>
      </c>
      <c r="L39" s="15" t="e">
        <f t="shared" si="1"/>
        <v>#NUM!</v>
      </c>
      <c r="M39" s="2">
        <f t="shared" si="0"/>
        <v>488.15</v>
      </c>
      <c r="O39" s="1">
        <v>3.5587981681389498</v>
      </c>
      <c r="U39" s="11">
        <v>1.8474049426558101E-2</v>
      </c>
      <c r="V39" s="11">
        <v>0</v>
      </c>
      <c r="X39" s="20">
        <v>1.72E-2</v>
      </c>
      <c r="Y39" s="8">
        <v>215</v>
      </c>
      <c r="Z39" s="20">
        <v>0.81340000000000001</v>
      </c>
      <c r="AA39" s="9">
        <v>678.22</v>
      </c>
      <c r="AB39" s="10">
        <v>22.3</v>
      </c>
      <c r="AC39" s="2">
        <v>167.38</v>
      </c>
      <c r="AD39" s="11">
        <v>0.49109999999999998</v>
      </c>
      <c r="AE39" s="11">
        <v>0.62929999999999997</v>
      </c>
    </row>
    <row r="40" spans="1:31" x14ac:dyDescent="0.25">
      <c r="A40" s="1" t="s">
        <v>59</v>
      </c>
      <c r="B40" s="20">
        <v>1.7100000000000001E-2</v>
      </c>
      <c r="C40" s="8">
        <v>225</v>
      </c>
      <c r="D40" s="20">
        <v>0.81838788779201499</v>
      </c>
      <c r="E40" s="10">
        <v>414.89</v>
      </c>
      <c r="F40" s="10">
        <v>21.64</v>
      </c>
      <c r="G40" s="2">
        <v>174.1</v>
      </c>
      <c r="H40" s="11">
        <v>0.51046589731861303</v>
      </c>
      <c r="I40" s="11">
        <v>0.65308594826600896</v>
      </c>
      <c r="K40" s="1">
        <v>817.38489464864801</v>
      </c>
      <c r="L40" s="15" t="e">
        <f t="shared" si="1"/>
        <v>#NUM!</v>
      </c>
      <c r="M40" s="2">
        <f t="shared" si="0"/>
        <v>498.15</v>
      </c>
      <c r="O40" s="1">
        <v>3.1744364188426202</v>
      </c>
      <c r="U40" s="11">
        <v>2.0754014764827598E-2</v>
      </c>
      <c r="V40" s="11">
        <v>0</v>
      </c>
      <c r="X40" s="20">
        <v>1.7100000000000001E-2</v>
      </c>
      <c r="Y40" s="8">
        <v>225</v>
      </c>
      <c r="Z40" s="20">
        <v>0.81840000000000002</v>
      </c>
      <c r="AA40" s="9">
        <v>688.04</v>
      </c>
      <c r="AB40" s="10">
        <v>21.6</v>
      </c>
      <c r="AC40" s="2">
        <v>174.1</v>
      </c>
      <c r="AD40" s="11">
        <v>0.51049999999999995</v>
      </c>
      <c r="AE40" s="11">
        <v>0.65310000000000001</v>
      </c>
    </row>
    <row r="41" spans="1:31" x14ac:dyDescent="0.25">
      <c r="A41" s="1" t="s">
        <v>60</v>
      </c>
      <c r="B41" s="20">
        <v>1.7500000000000002E-2</v>
      </c>
      <c r="C41" s="8">
        <v>235</v>
      </c>
      <c r="D41" s="20">
        <v>0.82311782612756201</v>
      </c>
      <c r="E41" s="10">
        <v>424.56</v>
      </c>
      <c r="F41" s="10">
        <v>21.01</v>
      </c>
      <c r="G41" s="2">
        <v>181.49</v>
      </c>
      <c r="H41" s="11">
        <v>0.53041034687249899</v>
      </c>
      <c r="I41" s="11">
        <v>0.67764194339327599</v>
      </c>
      <c r="K41" s="1">
        <v>822.90100687790596</v>
      </c>
      <c r="L41" s="15" t="e">
        <f t="shared" si="1"/>
        <v>#NUM!</v>
      </c>
      <c r="M41" s="2">
        <f t="shared" si="0"/>
        <v>508.15</v>
      </c>
      <c r="O41" s="1">
        <v>2.8392219562952401</v>
      </c>
      <c r="U41" s="11">
        <v>1.8953085538073799E-2</v>
      </c>
      <c r="V41" s="11">
        <v>0</v>
      </c>
      <c r="X41" s="20">
        <v>1.7500000000000002E-2</v>
      </c>
      <c r="Y41" s="8">
        <v>235</v>
      </c>
      <c r="Z41" s="20">
        <v>0.82310000000000005</v>
      </c>
      <c r="AA41" s="9">
        <v>697.71</v>
      </c>
      <c r="AB41" s="10">
        <v>21</v>
      </c>
      <c r="AC41" s="2">
        <v>181.49</v>
      </c>
      <c r="AD41" s="11">
        <v>0.53039999999999998</v>
      </c>
      <c r="AE41" s="11">
        <v>0.67759999999999998</v>
      </c>
    </row>
    <row r="42" spans="1:31" x14ac:dyDescent="0.25">
      <c r="A42" s="1" t="s">
        <v>61</v>
      </c>
      <c r="B42" s="20">
        <v>1.77E-2</v>
      </c>
      <c r="C42" s="8">
        <v>245</v>
      </c>
      <c r="D42" s="20">
        <v>0.82762570596054497</v>
      </c>
      <c r="E42" s="10">
        <v>434.09</v>
      </c>
      <c r="F42" s="10">
        <v>20.38</v>
      </c>
      <c r="G42" s="2">
        <v>191.2</v>
      </c>
      <c r="H42" s="11">
        <v>0.55088690358489001</v>
      </c>
      <c r="I42" s="11">
        <v>0.70288162576150603</v>
      </c>
      <c r="K42" s="1">
        <v>824.22647951578404</v>
      </c>
      <c r="L42" s="15" t="e">
        <f t="shared" si="1"/>
        <v>#NUM!</v>
      </c>
      <c r="M42" s="2">
        <f t="shared" si="0"/>
        <v>518.15</v>
      </c>
      <c r="O42" s="1">
        <v>2.5200037301169398</v>
      </c>
      <c r="U42" s="11">
        <v>1.88108100194605E-2</v>
      </c>
      <c r="V42" s="11">
        <v>0</v>
      </c>
      <c r="X42" s="20">
        <v>1.77E-2</v>
      </c>
      <c r="Y42" s="8">
        <v>245</v>
      </c>
      <c r="Z42" s="20">
        <v>0.8276</v>
      </c>
      <c r="AA42" s="9">
        <v>707.24</v>
      </c>
      <c r="AB42" s="10">
        <v>20.399999999999999</v>
      </c>
      <c r="AC42" s="2">
        <v>191.2</v>
      </c>
      <c r="AD42" s="11">
        <v>0.55089999999999995</v>
      </c>
      <c r="AE42" s="11">
        <v>0.70289999999999997</v>
      </c>
    </row>
    <row r="43" spans="1:31" x14ac:dyDescent="0.25">
      <c r="A43" s="1" t="s">
        <v>62</v>
      </c>
      <c r="B43" s="20">
        <v>1.7600000000000001E-2</v>
      </c>
      <c r="C43" s="8">
        <v>255</v>
      </c>
      <c r="D43" s="20">
        <v>0.83198978312174199</v>
      </c>
      <c r="E43" s="10">
        <v>443.51</v>
      </c>
      <c r="F43" s="10">
        <v>19.78</v>
      </c>
      <c r="G43" s="2">
        <v>199.55</v>
      </c>
      <c r="H43" s="11">
        <v>0.57182022080108696</v>
      </c>
      <c r="I43" s="11">
        <v>0.72869860869397995</v>
      </c>
      <c r="K43" s="1">
        <v>826.70838718669495</v>
      </c>
      <c r="L43" s="15" t="e">
        <f t="shared" si="1"/>
        <v>#NUM!</v>
      </c>
      <c r="M43" s="2">
        <f t="shared" si="0"/>
        <v>528.15</v>
      </c>
      <c r="O43" s="1">
        <v>2.2381967925341799</v>
      </c>
      <c r="U43" s="11">
        <v>1.9425021587698901E-2</v>
      </c>
      <c r="V43" s="11">
        <v>0</v>
      </c>
      <c r="X43" s="20">
        <v>1.7600000000000001E-2</v>
      </c>
      <c r="Y43" s="8">
        <v>255</v>
      </c>
      <c r="Z43" s="20">
        <v>0.83199999999999996</v>
      </c>
      <c r="AA43" s="9">
        <v>716.66</v>
      </c>
      <c r="AB43" s="10">
        <v>19.8</v>
      </c>
      <c r="AC43" s="2">
        <v>199.55</v>
      </c>
      <c r="AD43" s="11">
        <v>0.57179999999999997</v>
      </c>
      <c r="AE43" s="11">
        <v>0.72870000000000001</v>
      </c>
    </row>
    <row r="44" spans="1:31" x14ac:dyDescent="0.25">
      <c r="A44" s="1" t="s">
        <v>63</v>
      </c>
      <c r="B44" s="20">
        <v>1.7299999999999999E-2</v>
      </c>
      <c r="C44" s="8">
        <v>265</v>
      </c>
      <c r="D44" s="20">
        <v>0.836288313441923</v>
      </c>
      <c r="E44" s="10">
        <v>452.86</v>
      </c>
      <c r="F44" s="10">
        <v>19.2</v>
      </c>
      <c r="G44" s="2">
        <v>208.22</v>
      </c>
      <c r="H44" s="11">
        <v>0.59312761575702699</v>
      </c>
      <c r="I44" s="11">
        <v>0.75495625172841696</v>
      </c>
      <c r="K44" s="1">
        <v>831.34767177115395</v>
      </c>
      <c r="L44" s="15" t="e">
        <f t="shared" si="1"/>
        <v>#NUM!</v>
      </c>
      <c r="M44" s="2">
        <f t="shared" si="0"/>
        <v>538.15</v>
      </c>
      <c r="O44" s="1">
        <v>1.9756902552904201</v>
      </c>
      <c r="U44" s="11">
        <v>1.6008423182454601E-2</v>
      </c>
      <c r="V44" s="11">
        <v>0</v>
      </c>
      <c r="X44" s="20">
        <v>1.7299999999999999E-2</v>
      </c>
      <c r="Y44" s="8">
        <v>265</v>
      </c>
      <c r="Z44" s="20">
        <v>0.83630000000000004</v>
      </c>
      <c r="AA44" s="9">
        <v>726.01</v>
      </c>
      <c r="AB44" s="10">
        <v>19.2</v>
      </c>
      <c r="AC44" s="2">
        <v>208.22</v>
      </c>
      <c r="AD44" s="11">
        <v>0.59309999999999996</v>
      </c>
      <c r="AE44" s="11">
        <v>0.755</v>
      </c>
    </row>
    <row r="45" spans="1:31" x14ac:dyDescent="0.25">
      <c r="A45" s="1" t="s">
        <v>64</v>
      </c>
      <c r="B45" s="20">
        <v>1.7000000000000001E-2</v>
      </c>
      <c r="C45" s="8">
        <v>275</v>
      </c>
      <c r="D45" s="20">
        <v>0.84059955275186105</v>
      </c>
      <c r="E45" s="10">
        <v>462.16</v>
      </c>
      <c r="F45" s="10">
        <v>18.64</v>
      </c>
      <c r="G45" s="2">
        <v>218.47</v>
      </c>
      <c r="H45" s="11">
        <v>0.61471901575887999</v>
      </c>
      <c r="I45" s="11">
        <v>0.78148405869668902</v>
      </c>
      <c r="K45" s="1">
        <v>837.41837260123498</v>
      </c>
      <c r="L45" s="15" t="e">
        <f t="shared" si="1"/>
        <v>#NUM!</v>
      </c>
      <c r="M45" s="2">
        <f t="shared" si="0"/>
        <v>548.15</v>
      </c>
      <c r="O45" s="1">
        <v>1.73651339291392</v>
      </c>
      <c r="U45" s="11">
        <v>1.64019621410155E-2</v>
      </c>
      <c r="V45" s="11">
        <v>0</v>
      </c>
      <c r="X45" s="20">
        <v>1.7000000000000001E-2</v>
      </c>
      <c r="Y45" s="8">
        <v>275</v>
      </c>
      <c r="Z45" s="20">
        <v>0.84060000000000001</v>
      </c>
      <c r="AA45" s="9">
        <v>735.31</v>
      </c>
      <c r="AB45" s="10">
        <v>18.600000000000001</v>
      </c>
      <c r="AC45" s="2">
        <v>218.47</v>
      </c>
      <c r="AD45" s="11">
        <v>0.61470000000000002</v>
      </c>
      <c r="AE45" s="11">
        <v>0.78149999999999997</v>
      </c>
    </row>
    <row r="46" spans="1:31" x14ac:dyDescent="0.25">
      <c r="A46" s="1" t="s">
        <v>65</v>
      </c>
      <c r="B46" s="20">
        <v>1.6500000000000001E-2</v>
      </c>
      <c r="C46" s="8">
        <v>285</v>
      </c>
      <c r="D46" s="20">
        <v>0.84500175688233303</v>
      </c>
      <c r="E46" s="10">
        <v>471.44</v>
      </c>
      <c r="F46" s="10">
        <v>18.11</v>
      </c>
      <c r="G46" s="2">
        <v>226.2</v>
      </c>
      <c r="H46" s="11">
        <v>0.636497328841094</v>
      </c>
      <c r="I46" s="11">
        <v>0.80807390684679403</v>
      </c>
      <c r="K46" s="1">
        <v>844.19452900901797</v>
      </c>
      <c r="L46" s="15" t="e">
        <f t="shared" si="1"/>
        <v>#NUM!</v>
      </c>
      <c r="M46" s="2">
        <f t="shared" si="0"/>
        <v>558.15</v>
      </c>
      <c r="O46" s="1">
        <v>1.53379361941412</v>
      </c>
      <c r="U46" s="11">
        <v>1.73761546409026E-2</v>
      </c>
      <c r="V46" s="11">
        <v>0</v>
      </c>
      <c r="X46" s="20">
        <v>1.6500000000000001E-2</v>
      </c>
      <c r="Y46" s="8">
        <v>285</v>
      </c>
      <c r="Z46" s="20">
        <v>0.84499999999999997</v>
      </c>
      <c r="AA46" s="9">
        <v>744.59</v>
      </c>
      <c r="AB46" s="10">
        <v>18.100000000000001</v>
      </c>
      <c r="AC46" s="2">
        <v>226.2</v>
      </c>
      <c r="AD46" s="11">
        <v>0.63649999999999995</v>
      </c>
      <c r="AE46" s="11">
        <v>0.80810000000000004</v>
      </c>
    </row>
    <row r="47" spans="1:31" x14ac:dyDescent="0.25">
      <c r="A47" s="1" t="s">
        <v>66</v>
      </c>
      <c r="B47" s="20">
        <v>1.6E-2</v>
      </c>
      <c r="C47" s="8">
        <v>295</v>
      </c>
      <c r="D47" s="20">
        <v>0.84952442224090896</v>
      </c>
      <c r="E47" s="10">
        <v>480.73</v>
      </c>
      <c r="F47" s="10">
        <v>17.61</v>
      </c>
      <c r="G47" s="2">
        <v>235.38</v>
      </c>
      <c r="H47" s="11">
        <v>0.65842285076406804</v>
      </c>
      <c r="I47" s="11">
        <v>0.83458972846225399</v>
      </c>
      <c r="K47" s="1">
        <v>850.95018032658004</v>
      </c>
      <c r="L47" s="15" t="e">
        <f t="shared" si="1"/>
        <v>#NUM!</v>
      </c>
      <c r="M47" s="2">
        <f t="shared" si="0"/>
        <v>568.15</v>
      </c>
      <c r="O47" s="1">
        <v>1.3410978384073899</v>
      </c>
      <c r="U47" s="11">
        <v>1.4848502110095901E-2</v>
      </c>
      <c r="V47" s="11">
        <v>0</v>
      </c>
      <c r="X47" s="20">
        <v>1.6E-2</v>
      </c>
      <c r="Y47" s="8">
        <v>295</v>
      </c>
      <c r="Z47" s="20">
        <v>0.84950000000000003</v>
      </c>
      <c r="AA47" s="9">
        <v>753.88</v>
      </c>
      <c r="AB47" s="10">
        <v>17.600000000000001</v>
      </c>
      <c r="AC47" s="2">
        <v>235.38</v>
      </c>
      <c r="AD47" s="11">
        <v>0.65839999999999999</v>
      </c>
      <c r="AE47" s="11">
        <v>0.83460000000000001</v>
      </c>
    </row>
    <row r="48" spans="1:31" x14ac:dyDescent="0.25">
      <c r="A48" s="1" t="s">
        <v>67</v>
      </c>
      <c r="B48" s="20">
        <v>1.5299999999999999E-2</v>
      </c>
      <c r="C48" s="8">
        <v>305</v>
      </c>
      <c r="D48" s="20">
        <v>0.85407855654089304</v>
      </c>
      <c r="E48" s="10">
        <v>489.98</v>
      </c>
      <c r="F48" s="10">
        <v>17.14</v>
      </c>
      <c r="G48" s="2">
        <v>245.42</v>
      </c>
      <c r="H48" s="11">
        <v>0.68061042010376305</v>
      </c>
      <c r="I48" s="11">
        <v>0.86116594422289805</v>
      </c>
      <c r="K48" s="1">
        <v>856.95936588599704</v>
      </c>
      <c r="L48" s="15" t="e">
        <f t="shared" si="1"/>
        <v>#NUM!</v>
      </c>
      <c r="M48" s="2">
        <f t="shared" si="0"/>
        <v>578.15</v>
      </c>
      <c r="O48" s="1">
        <v>1.17160481596705</v>
      </c>
      <c r="U48" s="11">
        <v>1.43463137606118E-2</v>
      </c>
      <c r="V48" s="11">
        <v>0</v>
      </c>
      <c r="X48" s="20">
        <v>1.5299999999999999E-2</v>
      </c>
      <c r="Y48" s="8">
        <v>305</v>
      </c>
      <c r="Z48" s="20">
        <v>0.85409999999999997</v>
      </c>
      <c r="AA48" s="9">
        <v>763.13</v>
      </c>
      <c r="AB48" s="10">
        <v>17.100000000000001</v>
      </c>
      <c r="AC48" s="2">
        <v>245.42</v>
      </c>
      <c r="AD48" s="11">
        <v>0.68059999999999998</v>
      </c>
      <c r="AE48" s="11">
        <v>0.86119999999999997</v>
      </c>
    </row>
    <row r="49" spans="1:31" x14ac:dyDescent="0.25">
      <c r="A49" s="1" t="s">
        <v>68</v>
      </c>
      <c r="B49" s="20">
        <v>1.46E-2</v>
      </c>
      <c r="C49" s="8">
        <v>315</v>
      </c>
      <c r="D49" s="20">
        <v>0.85861670655330602</v>
      </c>
      <c r="E49" s="10">
        <v>499.19</v>
      </c>
      <c r="F49" s="10">
        <v>16.690000000000001</v>
      </c>
      <c r="G49" s="2">
        <v>256</v>
      </c>
      <c r="H49" s="11">
        <v>0.70312483066187603</v>
      </c>
      <c r="I49" s="11">
        <v>0.88787083713283399</v>
      </c>
      <c r="K49" s="1">
        <v>861.49612501934598</v>
      </c>
      <c r="L49" s="15" t="e">
        <f t="shared" si="1"/>
        <v>#NUM!</v>
      </c>
      <c r="M49" s="2">
        <f t="shared" si="0"/>
        <v>588.15</v>
      </c>
      <c r="O49" s="1">
        <v>1.0230271596525899</v>
      </c>
      <c r="U49" s="11">
        <v>1.6054889848064802E-2</v>
      </c>
      <c r="V49" s="11">
        <v>0</v>
      </c>
      <c r="X49" s="20">
        <v>1.46E-2</v>
      </c>
      <c r="Y49" s="8">
        <v>315</v>
      </c>
      <c r="Z49" s="20">
        <v>0.85860000000000003</v>
      </c>
      <c r="AA49" s="9">
        <v>772.34</v>
      </c>
      <c r="AB49" s="10">
        <v>16.7</v>
      </c>
      <c r="AC49" s="2">
        <v>256</v>
      </c>
      <c r="AD49" s="11">
        <v>0.70309999999999995</v>
      </c>
      <c r="AE49" s="11">
        <v>0.88790000000000002</v>
      </c>
    </row>
    <row r="50" spans="1:31" x14ac:dyDescent="0.25">
      <c r="A50" s="1" t="s">
        <v>69</v>
      </c>
      <c r="B50" s="20">
        <v>1.3899999999999999E-2</v>
      </c>
      <c r="C50" s="8">
        <v>325</v>
      </c>
      <c r="D50" s="20">
        <v>0.86309364328092997</v>
      </c>
      <c r="E50" s="10">
        <v>508.34</v>
      </c>
      <c r="F50" s="10">
        <v>16.25</v>
      </c>
      <c r="G50" s="2">
        <v>266.27999999999997</v>
      </c>
      <c r="H50" s="11">
        <v>0.72603033386388705</v>
      </c>
      <c r="I50" s="11">
        <v>0.91478941327574903</v>
      </c>
      <c r="K50" s="1">
        <v>863.83449705870601</v>
      </c>
      <c r="L50" s="15" t="e">
        <f t="shared" si="1"/>
        <v>#NUM!</v>
      </c>
      <c r="M50" s="2">
        <f t="shared" si="0"/>
        <v>598.15</v>
      </c>
      <c r="O50" s="1">
        <v>0.88519362496642695</v>
      </c>
      <c r="U50" s="11">
        <v>1.5901413677284201E-2</v>
      </c>
      <c r="V50" s="11">
        <v>0</v>
      </c>
      <c r="X50" s="20">
        <v>1.3899999999999999E-2</v>
      </c>
      <c r="Y50" s="8">
        <v>325</v>
      </c>
      <c r="Z50" s="20">
        <v>0.86309999999999998</v>
      </c>
      <c r="AA50" s="9">
        <v>781.49</v>
      </c>
      <c r="AB50" s="10">
        <v>16.3</v>
      </c>
      <c r="AC50" s="2">
        <v>266.27999999999997</v>
      </c>
      <c r="AD50" s="11">
        <v>0.72599999999999998</v>
      </c>
      <c r="AE50" s="11">
        <v>0.91479999999999995</v>
      </c>
    </row>
    <row r="51" spans="1:31" x14ac:dyDescent="0.25">
      <c r="A51" s="1" t="s">
        <v>70</v>
      </c>
      <c r="B51" s="20">
        <v>1.2999999999999999E-2</v>
      </c>
      <c r="C51" s="8">
        <v>335</v>
      </c>
      <c r="D51" s="20">
        <v>0.86746413772654696</v>
      </c>
      <c r="E51" s="10">
        <v>517.41999999999996</v>
      </c>
      <c r="F51" s="10">
        <v>15.82</v>
      </c>
      <c r="G51" s="2">
        <v>278.11</v>
      </c>
      <c r="H51" s="11">
        <v>0.74939367956175296</v>
      </c>
      <c r="I51" s="11">
        <v>0.94203012850481904</v>
      </c>
      <c r="K51" s="1">
        <v>864.76254767188402</v>
      </c>
      <c r="L51" s="15" t="e">
        <f t="shared" si="1"/>
        <v>#NUM!</v>
      </c>
      <c r="M51" s="2">
        <f t="shared" si="0"/>
        <v>608.15</v>
      </c>
      <c r="O51" s="1">
        <v>0.76054798142970403</v>
      </c>
      <c r="U51" s="11">
        <v>1.32256448238445E-2</v>
      </c>
      <c r="V51" s="11">
        <v>0</v>
      </c>
      <c r="X51" s="20">
        <v>1.2999999999999999E-2</v>
      </c>
      <c r="Y51" s="8">
        <v>335</v>
      </c>
      <c r="Z51" s="20">
        <v>0.86750000000000005</v>
      </c>
      <c r="AA51" s="9">
        <v>790.57</v>
      </c>
      <c r="AB51" s="10">
        <v>15.8</v>
      </c>
      <c r="AC51" s="2">
        <v>278.11</v>
      </c>
      <c r="AD51" s="11">
        <v>0.74939999999999996</v>
      </c>
      <c r="AE51" s="11">
        <v>0.94199999999999995</v>
      </c>
    </row>
    <row r="52" spans="1:31" x14ac:dyDescent="0.25">
      <c r="A52" s="1" t="s">
        <v>71</v>
      </c>
      <c r="B52" s="20">
        <v>1.21E-2</v>
      </c>
      <c r="C52" s="8">
        <v>345</v>
      </c>
      <c r="D52" s="20">
        <v>0.87168296089294195</v>
      </c>
      <c r="E52" s="10">
        <v>526.41</v>
      </c>
      <c r="F52" s="10">
        <v>15.41</v>
      </c>
      <c r="G52" s="2">
        <v>290.26</v>
      </c>
      <c r="H52" s="11">
        <v>0.77328459193440202</v>
      </c>
      <c r="I52" s="11">
        <v>0.96972647965914405</v>
      </c>
      <c r="K52" s="1">
        <v>868.33262229828995</v>
      </c>
      <c r="L52" s="15" t="e">
        <f t="shared" si="1"/>
        <v>#NUM!</v>
      </c>
      <c r="M52" s="2">
        <f t="shared" si="0"/>
        <v>618.15</v>
      </c>
      <c r="O52" s="1">
        <v>0.65636737966183001</v>
      </c>
      <c r="U52" s="11">
        <v>1.26382794510262E-2</v>
      </c>
      <c r="V52" s="11">
        <v>0</v>
      </c>
      <c r="X52" s="20">
        <v>1.21E-2</v>
      </c>
      <c r="Y52" s="8">
        <v>345</v>
      </c>
      <c r="Z52" s="20">
        <v>0.87170000000000003</v>
      </c>
      <c r="AA52" s="9">
        <v>799.56</v>
      </c>
      <c r="AB52" s="10">
        <v>15.4</v>
      </c>
      <c r="AC52" s="2">
        <v>290.26</v>
      </c>
      <c r="AD52" s="11">
        <v>0.77329999999999999</v>
      </c>
      <c r="AE52" s="11">
        <v>0.96970000000000001</v>
      </c>
    </row>
    <row r="53" spans="1:31" x14ac:dyDescent="0.25">
      <c r="A53" s="1" t="s">
        <v>72</v>
      </c>
      <c r="B53" s="20">
        <v>1.0999999999999999E-2</v>
      </c>
      <c r="C53" s="8">
        <v>355</v>
      </c>
      <c r="D53" s="20">
        <v>0.87570488378289701</v>
      </c>
      <c r="E53" s="10">
        <v>535.29</v>
      </c>
      <c r="F53" s="10">
        <v>15</v>
      </c>
      <c r="G53" s="2">
        <v>300.13</v>
      </c>
      <c r="H53" s="11">
        <v>0.79777650669678002</v>
      </c>
      <c r="I53" s="11">
        <v>0.99803848355632097</v>
      </c>
      <c r="K53" s="1">
        <v>874.07963833483097</v>
      </c>
      <c r="L53" s="15" t="e">
        <f t="shared" si="1"/>
        <v>#NUM!</v>
      </c>
      <c r="M53" s="2">
        <f t="shared" si="0"/>
        <v>628.15</v>
      </c>
      <c r="O53" s="1">
        <v>0.56423324241769901</v>
      </c>
      <c r="U53" s="11">
        <v>1.2846533402123E-2</v>
      </c>
      <c r="V53" s="11">
        <v>0</v>
      </c>
      <c r="X53" s="20">
        <v>1.0999999999999999E-2</v>
      </c>
      <c r="Y53" s="8">
        <v>355</v>
      </c>
      <c r="Z53" s="20">
        <v>0.87570000000000003</v>
      </c>
      <c r="AA53" s="9">
        <v>808.44</v>
      </c>
      <c r="AB53" s="10">
        <v>15</v>
      </c>
      <c r="AC53" s="2">
        <v>300.13</v>
      </c>
      <c r="AD53" s="11">
        <v>0.79779999999999995</v>
      </c>
      <c r="AE53" s="11">
        <v>0.998</v>
      </c>
    </row>
    <row r="54" spans="1:31" x14ac:dyDescent="0.25">
      <c r="A54" s="1" t="s">
        <v>73</v>
      </c>
      <c r="B54" s="20">
        <v>1.01E-2</v>
      </c>
      <c r="C54" s="8">
        <v>365</v>
      </c>
      <c r="D54" s="20">
        <v>0.87953656796618596</v>
      </c>
      <c r="E54" s="10">
        <v>544.05999999999995</v>
      </c>
      <c r="F54" s="10">
        <v>14.59</v>
      </c>
      <c r="G54" s="2">
        <v>310.04000000000002</v>
      </c>
      <c r="H54" s="11">
        <v>0.82287231247251802</v>
      </c>
      <c r="I54" s="11">
        <v>1.02698414325361</v>
      </c>
      <c r="K54" s="1">
        <v>881.177097605928</v>
      </c>
      <c r="L54" s="15" t="e">
        <f t="shared" si="1"/>
        <v>#NUM!</v>
      </c>
      <c r="M54" s="2">
        <f t="shared" si="0"/>
        <v>638.15</v>
      </c>
      <c r="O54" s="1">
        <v>0.47945566261997002</v>
      </c>
      <c r="U54" s="11">
        <v>1.31904515557104E-2</v>
      </c>
      <c r="V54" s="11">
        <v>0</v>
      </c>
      <c r="X54" s="20">
        <v>1.01E-2</v>
      </c>
      <c r="Y54" s="8">
        <v>365</v>
      </c>
      <c r="Z54" s="20">
        <v>0.87949999999999995</v>
      </c>
      <c r="AA54" s="9">
        <v>817.21</v>
      </c>
      <c r="AB54" s="10">
        <v>14.6</v>
      </c>
      <c r="AC54" s="2">
        <v>310.04000000000002</v>
      </c>
      <c r="AD54" s="11">
        <v>0.82289999999999996</v>
      </c>
      <c r="AE54" s="11">
        <v>1.0269999999999999</v>
      </c>
    </row>
    <row r="55" spans="1:31" x14ac:dyDescent="0.25">
      <c r="A55" s="1" t="s">
        <v>74</v>
      </c>
      <c r="B55" s="20">
        <v>9.7000000000000003E-3</v>
      </c>
      <c r="C55" s="8">
        <v>375</v>
      </c>
      <c r="D55" s="20">
        <v>0.88323750129863599</v>
      </c>
      <c r="E55" s="10">
        <v>552.76</v>
      </c>
      <c r="F55" s="10">
        <v>14.19</v>
      </c>
      <c r="G55" s="2">
        <v>318.24</v>
      </c>
      <c r="H55" s="11">
        <v>0.84849681868751403</v>
      </c>
      <c r="I55" s="11">
        <v>1.0563990631806399</v>
      </c>
      <c r="K55" s="1">
        <v>888.79850193600703</v>
      </c>
      <c r="L55" s="15" t="e">
        <f t="shared" si="1"/>
        <v>#NUM!</v>
      </c>
      <c r="M55" s="2">
        <f t="shared" si="0"/>
        <v>648.15</v>
      </c>
      <c r="O55" s="1">
        <v>0.41146360888333</v>
      </c>
      <c r="U55" s="11">
        <v>1.31538077437665E-2</v>
      </c>
      <c r="V55" s="11">
        <v>0</v>
      </c>
      <c r="X55" s="20">
        <v>9.7000000000000003E-3</v>
      </c>
      <c r="Y55" s="8">
        <v>375</v>
      </c>
      <c r="Z55" s="20">
        <v>0.88319999999999999</v>
      </c>
      <c r="AA55" s="9">
        <v>825.91</v>
      </c>
      <c r="AB55" s="10">
        <v>14.2</v>
      </c>
      <c r="AC55" s="2">
        <v>318.24</v>
      </c>
      <c r="AD55" s="11">
        <v>0.84850000000000003</v>
      </c>
      <c r="AE55" s="11">
        <v>1.0564</v>
      </c>
    </row>
    <row r="56" spans="1:31" x14ac:dyDescent="0.25">
      <c r="A56" s="1" t="s">
        <v>75</v>
      </c>
      <c r="B56" s="20">
        <v>9.5999999999999992E-3</v>
      </c>
      <c r="C56" s="8">
        <v>385</v>
      </c>
      <c r="D56" s="20">
        <v>0.88682846174428298</v>
      </c>
      <c r="E56" s="10">
        <v>561.38</v>
      </c>
      <c r="F56" s="10">
        <v>13.81</v>
      </c>
      <c r="G56" s="2">
        <v>326.33</v>
      </c>
      <c r="H56" s="11">
        <v>0.87462681437788603</v>
      </c>
      <c r="I56" s="11">
        <v>1.08622353030784</v>
      </c>
      <c r="K56" s="1">
        <v>896.11735314948703</v>
      </c>
      <c r="L56" s="15" t="e">
        <f t="shared" si="1"/>
        <v>#NUM!</v>
      </c>
      <c r="M56" s="2">
        <f t="shared" si="0"/>
        <v>658.15</v>
      </c>
      <c r="O56" s="1">
        <v>0.349214248872039</v>
      </c>
      <c r="U56" s="11">
        <v>1.06654104323079E-2</v>
      </c>
      <c r="V56" s="11">
        <v>0</v>
      </c>
      <c r="X56" s="20">
        <v>9.5999999999999992E-3</v>
      </c>
      <c r="Y56" s="8">
        <v>385</v>
      </c>
      <c r="Z56" s="20">
        <v>0.88680000000000003</v>
      </c>
      <c r="AA56" s="9">
        <v>834.53</v>
      </c>
      <c r="AB56" s="10">
        <v>13.8</v>
      </c>
      <c r="AC56" s="2">
        <v>326.33</v>
      </c>
      <c r="AD56" s="11">
        <v>0.87460000000000004</v>
      </c>
      <c r="AE56" s="11">
        <v>1.0862000000000001</v>
      </c>
    </row>
    <row r="57" spans="1:31" x14ac:dyDescent="0.25">
      <c r="A57" s="1" t="s">
        <v>76</v>
      </c>
      <c r="B57" s="20">
        <v>9.4000000000000004E-3</v>
      </c>
      <c r="C57" s="8">
        <v>395</v>
      </c>
      <c r="D57" s="20">
        <v>0.89033011098042403</v>
      </c>
      <c r="E57" s="10">
        <v>569.95000000000005</v>
      </c>
      <c r="F57" s="10">
        <v>13.43</v>
      </c>
      <c r="G57" s="2">
        <v>336.54</v>
      </c>
      <c r="H57" s="11">
        <v>0.90123673995346198</v>
      </c>
      <c r="I57" s="11">
        <v>1.1163866235257001</v>
      </c>
      <c r="K57" s="1">
        <v>902.30715307079504</v>
      </c>
      <c r="L57" s="15" t="e">
        <f t="shared" si="1"/>
        <v>#NUM!</v>
      </c>
      <c r="M57" s="2">
        <f t="shared" si="0"/>
        <v>668.15</v>
      </c>
      <c r="O57" s="1">
        <v>0.29606579591475202</v>
      </c>
      <c r="U57" s="11">
        <v>9.4402790267690603E-3</v>
      </c>
      <c r="V57" s="11">
        <v>0</v>
      </c>
      <c r="X57" s="20">
        <v>9.4000000000000004E-3</v>
      </c>
      <c r="Y57" s="8">
        <v>395</v>
      </c>
      <c r="Z57" s="20">
        <v>0.89029999999999998</v>
      </c>
      <c r="AA57" s="9">
        <v>843.1</v>
      </c>
      <c r="AB57" s="10">
        <v>13.4</v>
      </c>
      <c r="AC57" s="2">
        <v>336.54</v>
      </c>
      <c r="AD57" s="11">
        <v>0.9012</v>
      </c>
      <c r="AE57" s="11">
        <v>1.1164000000000001</v>
      </c>
    </row>
    <row r="58" spans="1:31" x14ac:dyDescent="0.25">
      <c r="A58" s="1" t="s">
        <v>77</v>
      </c>
      <c r="B58" s="20">
        <v>9.1999999999999998E-3</v>
      </c>
      <c r="C58" s="8">
        <v>405</v>
      </c>
      <c r="D58" s="20">
        <v>0.89376311068435899</v>
      </c>
      <c r="E58" s="10">
        <v>578.46</v>
      </c>
      <c r="F58" s="10">
        <v>13.06</v>
      </c>
      <c r="G58" s="2">
        <v>348.32</v>
      </c>
      <c r="H58" s="11">
        <v>0.92829820913807204</v>
      </c>
      <c r="I58" s="11">
        <v>1.1468052701317399</v>
      </c>
      <c r="K58" s="1">
        <v>906.54140352435604</v>
      </c>
      <c r="L58" s="15" t="e">
        <f t="shared" si="1"/>
        <v>#NUM!</v>
      </c>
      <c r="M58" s="2">
        <f t="shared" si="0"/>
        <v>678.15</v>
      </c>
      <c r="O58" s="1">
        <v>0.24936393198581799</v>
      </c>
      <c r="U58" s="11">
        <v>1.04967810587986E-2</v>
      </c>
      <c r="V58" s="11">
        <v>0</v>
      </c>
      <c r="X58" s="20">
        <v>9.1999999999999998E-3</v>
      </c>
      <c r="Y58" s="8">
        <v>405</v>
      </c>
      <c r="Z58" s="20">
        <v>0.89380000000000004</v>
      </c>
      <c r="AA58" s="9">
        <v>851.61</v>
      </c>
      <c r="AB58" s="10">
        <v>13.1</v>
      </c>
      <c r="AC58" s="2">
        <v>348.32</v>
      </c>
      <c r="AD58" s="11">
        <v>0.92830000000000001</v>
      </c>
      <c r="AE58" s="11">
        <v>1.1468</v>
      </c>
    </row>
    <row r="59" spans="1:31" x14ac:dyDescent="0.25">
      <c r="A59" s="1" t="s">
        <v>78</v>
      </c>
      <c r="B59" s="20">
        <v>8.8999999999999999E-3</v>
      </c>
      <c r="C59" s="8">
        <v>415</v>
      </c>
      <c r="D59" s="20">
        <v>0.89714812253338805</v>
      </c>
      <c r="E59" s="10">
        <v>586.92999999999995</v>
      </c>
      <c r="F59" s="10">
        <v>12.71</v>
      </c>
      <c r="G59" s="2">
        <v>360.98</v>
      </c>
      <c r="H59" s="11">
        <v>0.95577968542848901</v>
      </c>
      <c r="I59" s="11">
        <v>1.17738376447364</v>
      </c>
      <c r="K59" s="1">
        <v>912.21669295797096</v>
      </c>
      <c r="L59" s="15" t="e">
        <f t="shared" si="1"/>
        <v>#NUM!</v>
      </c>
      <c r="M59" s="2">
        <f t="shared" si="0"/>
        <v>688.15</v>
      </c>
      <c r="O59" s="1">
        <v>0.20800377875131901</v>
      </c>
      <c r="U59" s="11">
        <v>1.05023092066052E-2</v>
      </c>
      <c r="V59" s="11">
        <v>0</v>
      </c>
      <c r="X59" s="20">
        <v>8.8999999999999999E-3</v>
      </c>
      <c r="Y59" s="8">
        <v>415</v>
      </c>
      <c r="Z59" s="20">
        <v>0.89710000000000001</v>
      </c>
      <c r="AA59" s="9">
        <v>860.08</v>
      </c>
      <c r="AB59" s="10">
        <v>12.7</v>
      </c>
      <c r="AC59" s="2">
        <v>360.98</v>
      </c>
      <c r="AD59" s="11">
        <v>0.95579999999999998</v>
      </c>
      <c r="AE59" s="11">
        <v>1.1774</v>
      </c>
    </row>
    <row r="60" spans="1:31" x14ac:dyDescent="0.25">
      <c r="A60" s="1" t="s">
        <v>79</v>
      </c>
      <c r="B60" s="20">
        <v>8.6E-3</v>
      </c>
      <c r="C60" s="8">
        <v>425</v>
      </c>
      <c r="D60" s="20">
        <v>0.90050580820480997</v>
      </c>
      <c r="E60" s="10">
        <v>595.37</v>
      </c>
      <c r="F60" s="10">
        <v>12.37</v>
      </c>
      <c r="G60" s="2">
        <v>375.47</v>
      </c>
      <c r="H60" s="11">
        <v>0.98364614330284195</v>
      </c>
      <c r="I60" s="11">
        <v>1.2080134280300101</v>
      </c>
      <c r="K60" s="1">
        <v>915.17542065415898</v>
      </c>
      <c r="L60" s="15" t="e">
        <f t="shared" si="1"/>
        <v>#NUM!</v>
      </c>
      <c r="M60" s="2">
        <f t="shared" si="0"/>
        <v>698.15</v>
      </c>
      <c r="O60" s="1">
        <v>0.17247294562454099</v>
      </c>
      <c r="U60" s="11">
        <v>1.0097479678914899E-2</v>
      </c>
      <c r="V60" s="11">
        <v>0</v>
      </c>
      <c r="X60" s="20">
        <v>8.6E-3</v>
      </c>
      <c r="Y60" s="8">
        <v>425</v>
      </c>
      <c r="Z60" s="20">
        <v>0.90049999999999997</v>
      </c>
      <c r="AA60" s="9">
        <v>868.52</v>
      </c>
      <c r="AB60" s="10">
        <v>12.4</v>
      </c>
      <c r="AC60" s="2">
        <v>375.47</v>
      </c>
      <c r="AD60" s="11">
        <v>0.98360000000000003</v>
      </c>
      <c r="AE60" s="11">
        <v>1.208</v>
      </c>
    </row>
    <row r="61" spans="1:31" x14ac:dyDescent="0.25">
      <c r="A61" s="1" t="s">
        <v>80</v>
      </c>
      <c r="B61" s="20">
        <v>8.3000000000000001E-3</v>
      </c>
      <c r="C61" s="8">
        <v>435</v>
      </c>
      <c r="D61" s="20">
        <v>0.90385682937592504</v>
      </c>
      <c r="E61" s="10">
        <v>603.79999999999995</v>
      </c>
      <c r="F61" s="10">
        <v>12.04</v>
      </c>
      <c r="G61" s="2">
        <v>388.79</v>
      </c>
      <c r="H61" s="11">
        <v>1.0118587111662201</v>
      </c>
      <c r="I61" s="11">
        <v>1.2385724595881</v>
      </c>
      <c r="K61" s="1">
        <v>918.65655888244805</v>
      </c>
      <c r="L61" s="15" t="e">
        <f t="shared" si="1"/>
        <v>#NUM!</v>
      </c>
      <c r="M61" s="2">
        <f t="shared" si="0"/>
        <v>708.15</v>
      </c>
      <c r="O61" s="1">
        <v>0.143255104865425</v>
      </c>
      <c r="U61" s="11">
        <v>9.4719330751258692E-3</v>
      </c>
      <c r="V61" s="11">
        <v>0</v>
      </c>
      <c r="X61" s="20">
        <v>8.3000000000000001E-3</v>
      </c>
      <c r="Y61" s="8">
        <v>435</v>
      </c>
      <c r="Z61" s="20">
        <v>0.90390000000000004</v>
      </c>
      <c r="AA61" s="9">
        <v>876.95</v>
      </c>
      <c r="AB61" s="10">
        <v>12</v>
      </c>
      <c r="AC61" s="2">
        <v>388.79</v>
      </c>
      <c r="AD61" s="11">
        <v>1.0119</v>
      </c>
      <c r="AE61" s="11">
        <v>1.2385999999999999</v>
      </c>
    </row>
    <row r="62" spans="1:31" x14ac:dyDescent="0.25">
      <c r="A62" s="1" t="s">
        <v>81</v>
      </c>
      <c r="B62" s="20">
        <v>8.0000000000000002E-3</v>
      </c>
      <c r="C62" s="8">
        <v>445</v>
      </c>
      <c r="D62" s="20">
        <v>0.90718592470547699</v>
      </c>
      <c r="E62" s="10">
        <v>612.20000000000005</v>
      </c>
      <c r="F62" s="10">
        <v>11.72</v>
      </c>
      <c r="G62" s="2">
        <v>402.29</v>
      </c>
      <c r="H62" s="11">
        <v>1.04043575897859</v>
      </c>
      <c r="I62" s="11">
        <v>1.2690888893258101</v>
      </c>
      <c r="K62" s="1">
        <v>922.36464174872197</v>
      </c>
      <c r="L62" s="15" t="e">
        <f t="shared" si="1"/>
        <v>#NUM!</v>
      </c>
      <c r="M62" s="2">
        <f t="shared" si="0"/>
        <v>718.15</v>
      </c>
      <c r="O62" s="1">
        <v>0.118126876496104</v>
      </c>
      <c r="U62" s="11">
        <v>7.8992489176763995E-3</v>
      </c>
      <c r="V62" s="11">
        <v>0</v>
      </c>
      <c r="X62" s="20">
        <v>8.0000000000000002E-3</v>
      </c>
      <c r="Y62" s="8">
        <v>445</v>
      </c>
      <c r="Z62" s="20">
        <v>0.90720000000000001</v>
      </c>
      <c r="AA62" s="9">
        <v>885.35</v>
      </c>
      <c r="AB62" s="10">
        <v>11.7</v>
      </c>
      <c r="AC62" s="2">
        <v>402.29</v>
      </c>
      <c r="AD62" s="11">
        <v>1.0404</v>
      </c>
      <c r="AE62" s="11">
        <v>1.2690999999999999</v>
      </c>
    </row>
    <row r="63" spans="1:31" x14ac:dyDescent="0.25">
      <c r="A63" s="1" t="s">
        <v>82</v>
      </c>
      <c r="B63" s="20">
        <v>1.12E-2</v>
      </c>
      <c r="C63" s="8">
        <v>460</v>
      </c>
      <c r="D63" s="20">
        <v>0.91193406188144499</v>
      </c>
      <c r="E63" s="10">
        <v>624.67999999999995</v>
      </c>
      <c r="F63" s="10">
        <v>11.25</v>
      </c>
      <c r="G63" s="2">
        <v>418.45</v>
      </c>
      <c r="H63" s="11">
        <v>1.08433055866647</v>
      </c>
      <c r="I63" s="11">
        <v>1.31568751099716</v>
      </c>
      <c r="K63" s="1">
        <v>927.70595560098002</v>
      </c>
      <c r="L63" s="15" t="e">
        <f t="shared" si="1"/>
        <v>#NUM!</v>
      </c>
      <c r="M63" s="2">
        <f t="shared" si="0"/>
        <v>733.15</v>
      </c>
      <c r="O63" s="1">
        <v>9.2657074052014801E-2</v>
      </c>
      <c r="U63" s="11">
        <v>1.10275260244027E-2</v>
      </c>
      <c r="V63" s="11">
        <v>0</v>
      </c>
      <c r="X63" s="20">
        <v>1.12E-2</v>
      </c>
      <c r="Y63" s="8">
        <v>460</v>
      </c>
      <c r="Z63" s="20">
        <v>0.91190000000000004</v>
      </c>
      <c r="AA63" s="9">
        <v>897.83</v>
      </c>
      <c r="AB63" s="10">
        <v>11.3</v>
      </c>
      <c r="AC63" s="2">
        <v>418.45</v>
      </c>
      <c r="AD63" s="11">
        <v>1.0843</v>
      </c>
      <c r="AE63" s="11">
        <v>1.3157000000000001</v>
      </c>
    </row>
    <row r="64" spans="1:31" x14ac:dyDescent="0.25">
      <c r="A64" s="1" t="s">
        <v>83</v>
      </c>
      <c r="B64" s="20">
        <v>1.35E-2</v>
      </c>
      <c r="C64" s="8">
        <v>480</v>
      </c>
      <c r="D64" s="20">
        <v>0.918026726695652</v>
      </c>
      <c r="E64" s="10">
        <v>641.17999999999995</v>
      </c>
      <c r="F64" s="10">
        <v>10.66</v>
      </c>
      <c r="G64" s="2">
        <v>444.11</v>
      </c>
      <c r="H64" s="11">
        <v>1.1443954804586001</v>
      </c>
      <c r="I64" s="11">
        <v>1.37834367002451</v>
      </c>
      <c r="K64" s="1">
        <v>932.86433195852499</v>
      </c>
      <c r="L64" s="15" t="e">
        <f t="shared" si="1"/>
        <v>#NUM!</v>
      </c>
      <c r="M64" s="2">
        <f t="shared" si="0"/>
        <v>753.15</v>
      </c>
      <c r="O64" s="1">
        <v>6.3993200007209705E-2</v>
      </c>
      <c r="U64" s="11">
        <v>1.7111357302051201E-2</v>
      </c>
      <c r="V64" s="11">
        <v>0</v>
      </c>
      <c r="X64" s="20">
        <v>1.35E-2</v>
      </c>
      <c r="Y64" s="8">
        <v>480</v>
      </c>
      <c r="Z64" s="20">
        <v>0.91800000000000004</v>
      </c>
      <c r="AA64" s="9">
        <v>914.33</v>
      </c>
      <c r="AB64" s="10">
        <v>10.7</v>
      </c>
      <c r="AC64" s="2">
        <v>444.11</v>
      </c>
      <c r="AD64" s="11">
        <v>1.1444000000000001</v>
      </c>
      <c r="AE64" s="11">
        <v>1.3783000000000001</v>
      </c>
    </row>
    <row r="65" spans="1:31" x14ac:dyDescent="0.25">
      <c r="A65" s="1" t="s">
        <v>84</v>
      </c>
      <c r="B65" s="20">
        <v>1.18E-2</v>
      </c>
      <c r="C65" s="8">
        <v>500</v>
      </c>
      <c r="D65" s="20">
        <v>0.924220205816497</v>
      </c>
      <c r="E65" s="10">
        <v>657.7</v>
      </c>
      <c r="F65" s="10">
        <v>10.11</v>
      </c>
      <c r="G65" s="2">
        <v>476.53</v>
      </c>
      <c r="H65" s="11">
        <v>1.20545681594263</v>
      </c>
      <c r="I65" s="11">
        <v>1.4395136500707699</v>
      </c>
      <c r="K65" s="1">
        <v>934.19446245362701</v>
      </c>
      <c r="L65" s="15" t="e">
        <f t="shared" si="1"/>
        <v>#NUM!</v>
      </c>
      <c r="M65" s="2">
        <f t="shared" si="0"/>
        <v>773.15</v>
      </c>
      <c r="O65" s="1">
        <v>4.0440497599291497E-2</v>
      </c>
      <c r="U65" s="11">
        <v>9.8867105628390895E-3</v>
      </c>
      <c r="V65" s="11">
        <v>0</v>
      </c>
      <c r="X65" s="20">
        <v>1.18E-2</v>
      </c>
      <c r="Y65" s="8">
        <v>500</v>
      </c>
      <c r="Z65" s="20">
        <v>0.92420000000000002</v>
      </c>
      <c r="AA65" s="9">
        <v>930.85</v>
      </c>
      <c r="AB65" s="10">
        <v>10.1</v>
      </c>
      <c r="AC65" s="2">
        <v>476.53</v>
      </c>
      <c r="AD65" s="11">
        <v>1.2055</v>
      </c>
      <c r="AE65" s="11">
        <v>1.4395</v>
      </c>
    </row>
    <row r="66" spans="1:31" x14ac:dyDescent="0.25">
      <c r="A66" s="1" t="s">
        <v>85</v>
      </c>
      <c r="B66" s="20">
        <v>0.01</v>
      </c>
      <c r="C66" s="8">
        <v>520</v>
      </c>
      <c r="D66" s="20">
        <v>0.930921436102639</v>
      </c>
      <c r="E66" s="10">
        <v>674.47</v>
      </c>
      <c r="F66" s="10">
        <v>9.6300000000000008</v>
      </c>
      <c r="G66" s="2">
        <v>508.59</v>
      </c>
      <c r="H66" s="11">
        <v>1.2665080461223299</v>
      </c>
      <c r="I66" s="11">
        <v>1.49647368341377</v>
      </c>
      <c r="K66" s="1">
        <v>936.75043004368399</v>
      </c>
      <c r="L66" s="15" t="e">
        <f t="shared" si="1"/>
        <v>#NUM!</v>
      </c>
      <c r="M66" s="2">
        <f t="shared" si="0"/>
        <v>793.15</v>
      </c>
      <c r="O66" s="1">
        <v>2.5287455385190501E-2</v>
      </c>
      <c r="U66" s="11">
        <v>1.0379063675268099E-2</v>
      </c>
      <c r="V66" s="11">
        <v>0</v>
      </c>
      <c r="X66" s="20">
        <v>0.01</v>
      </c>
      <c r="Y66" s="8">
        <v>520</v>
      </c>
      <c r="Z66" s="20">
        <v>0.93089999999999995</v>
      </c>
      <c r="AA66" s="9">
        <v>947.62</v>
      </c>
      <c r="AB66" s="10">
        <v>9.6</v>
      </c>
      <c r="AC66" s="2">
        <v>508.59</v>
      </c>
      <c r="AD66" s="11">
        <v>1.2665</v>
      </c>
      <c r="AE66" s="11">
        <v>1.4964999999999999</v>
      </c>
    </row>
    <row r="67" spans="1:31" x14ac:dyDescent="0.25">
      <c r="A67" s="1" t="s">
        <v>86</v>
      </c>
      <c r="B67" s="20">
        <v>8.0000000000000002E-3</v>
      </c>
      <c r="C67" s="8">
        <v>540</v>
      </c>
      <c r="D67" s="20">
        <v>0.93872798295356896</v>
      </c>
      <c r="E67" s="10">
        <v>691.8</v>
      </c>
      <c r="F67" s="10">
        <v>9.23</v>
      </c>
      <c r="G67" s="2">
        <v>538.64</v>
      </c>
      <c r="H67" s="11">
        <v>1.3259184908039301</v>
      </c>
      <c r="I67" s="11">
        <v>1.54500453351284</v>
      </c>
      <c r="K67" s="1">
        <v>942.00402252305901</v>
      </c>
      <c r="L67" s="15" t="e">
        <f t="shared" si="1"/>
        <v>#NUM!</v>
      </c>
      <c r="M67" s="2">
        <f t="shared" si="0"/>
        <v>813.15</v>
      </c>
      <c r="O67" s="1">
        <v>1.53359231804062E-2</v>
      </c>
      <c r="U67" s="11">
        <v>8.8076360877470099E-3</v>
      </c>
      <c r="V67" s="11">
        <v>0</v>
      </c>
      <c r="X67" s="20">
        <v>8.0000000000000002E-3</v>
      </c>
      <c r="Y67" s="8">
        <v>540</v>
      </c>
      <c r="Z67" s="20">
        <v>0.93869999999999998</v>
      </c>
      <c r="AA67" s="9">
        <v>964.95</v>
      </c>
      <c r="AB67" s="10">
        <v>9.1999999999999993</v>
      </c>
      <c r="AC67" s="2">
        <v>538.64</v>
      </c>
      <c r="AD67" s="11">
        <v>1.3259000000000001</v>
      </c>
      <c r="AE67" s="11">
        <v>1.5449999999999999</v>
      </c>
    </row>
    <row r="68" spans="1:31" x14ac:dyDescent="0.25">
      <c r="A68" s="1" t="s">
        <v>87</v>
      </c>
      <c r="B68" s="20">
        <v>6.8999999999999999E-3</v>
      </c>
      <c r="C68" s="8">
        <v>560</v>
      </c>
      <c r="D68" s="20">
        <v>0.94817113045367996</v>
      </c>
      <c r="E68" s="10">
        <v>710.02</v>
      </c>
      <c r="F68" s="10">
        <v>8.9499999999999993</v>
      </c>
      <c r="G68" s="2">
        <v>566.82000000000005</v>
      </c>
      <c r="H68" s="11">
        <v>1.38191267175488</v>
      </c>
      <c r="I68" s="11">
        <v>1.5810381733327401</v>
      </c>
      <c r="K68" s="1">
        <v>949.615739430085</v>
      </c>
      <c r="L68" s="15" t="e">
        <f t="shared" si="1"/>
        <v>#NUM!</v>
      </c>
      <c r="M68" s="2">
        <f t="shared" si="0"/>
        <v>833.15</v>
      </c>
      <c r="O68" s="1">
        <v>9.2040296856950796E-3</v>
      </c>
      <c r="U68" s="11">
        <v>5.3868504567632803E-3</v>
      </c>
      <c r="V68" s="11">
        <v>0</v>
      </c>
      <c r="X68" s="20">
        <v>6.8999999999999999E-3</v>
      </c>
      <c r="Y68" s="8">
        <v>560</v>
      </c>
      <c r="Z68" s="20">
        <v>0.94820000000000004</v>
      </c>
      <c r="AA68" s="9">
        <v>983.17</v>
      </c>
      <c r="AB68" s="10">
        <v>9</v>
      </c>
      <c r="AC68" s="2">
        <v>566.82000000000005</v>
      </c>
      <c r="AD68" s="11">
        <v>1.3818999999999999</v>
      </c>
      <c r="AE68" s="11">
        <v>1.581</v>
      </c>
    </row>
    <row r="69" spans="1:31" x14ac:dyDescent="0.25">
      <c r="A69" s="1" t="s">
        <v>88</v>
      </c>
      <c r="B69" s="20">
        <v>5.7000000000000002E-3</v>
      </c>
      <c r="C69" s="8">
        <v>580</v>
      </c>
      <c r="D69" s="20">
        <v>0.957820383517894</v>
      </c>
      <c r="E69" s="10">
        <v>728.43</v>
      </c>
      <c r="F69" s="10">
        <v>8.69</v>
      </c>
      <c r="G69" s="2">
        <v>593.45000000000005</v>
      </c>
      <c r="H69" s="11">
        <v>1.43708146783401</v>
      </c>
      <c r="I69" s="11">
        <v>1.6128825125123001</v>
      </c>
      <c r="K69" s="1">
        <v>959.24608030309298</v>
      </c>
      <c r="L69" s="15" t="e">
        <f t="shared" si="1"/>
        <v>#NUM!</v>
      </c>
      <c r="M69" s="2">
        <f t="shared" si="0"/>
        <v>853.15</v>
      </c>
      <c r="O69" s="1">
        <v>5.5294030239912096E-3</v>
      </c>
      <c r="U69" s="11">
        <v>7.4849393359152604E-3</v>
      </c>
      <c r="V69" s="11">
        <v>0</v>
      </c>
      <c r="X69" s="20">
        <v>5.7000000000000002E-3</v>
      </c>
      <c r="Y69" s="8">
        <v>580</v>
      </c>
      <c r="Z69" s="20">
        <v>0.95779999999999998</v>
      </c>
      <c r="AA69" s="9">
        <v>1001.58</v>
      </c>
      <c r="AB69" s="10">
        <v>8.6999999999999993</v>
      </c>
      <c r="AC69" s="2">
        <v>593.45000000000005</v>
      </c>
      <c r="AD69" s="11">
        <v>1.4371</v>
      </c>
      <c r="AE69" s="11">
        <v>1.6129</v>
      </c>
    </row>
    <row r="70" spans="1:31" x14ac:dyDescent="0.25">
      <c r="A70" s="1" t="s">
        <v>89</v>
      </c>
      <c r="B70" s="20">
        <v>3.0000000000000001E-3</v>
      </c>
      <c r="C70" s="8">
        <v>600</v>
      </c>
      <c r="D70" s="20">
        <v>0.96759448838894602</v>
      </c>
      <c r="E70" s="10">
        <v>747.01</v>
      </c>
      <c r="F70" s="10">
        <v>8.4600000000000009</v>
      </c>
      <c r="G70" s="2">
        <v>619.04</v>
      </c>
      <c r="H70" s="11">
        <v>1.49123575982075</v>
      </c>
      <c r="I70" s="11">
        <v>1.6413154624891</v>
      </c>
      <c r="K70" s="1">
        <v>970.55554468041305</v>
      </c>
      <c r="L70" s="15" t="e">
        <f t="shared" ref="L70:L80" si="2">LN(J70)</f>
        <v>#NUM!</v>
      </c>
      <c r="M70" s="2">
        <f t="shared" ref="M70:M80" si="3">C70+273.15</f>
        <v>873.15</v>
      </c>
      <c r="O70" s="1">
        <v>3.2215049483664002E-3</v>
      </c>
      <c r="U70" s="11">
        <v>2.9646251845490399E-3</v>
      </c>
      <c r="V70" s="11">
        <v>0</v>
      </c>
      <c r="X70" s="20">
        <v>3.0000000000000001E-3</v>
      </c>
      <c r="Y70" s="8">
        <v>600</v>
      </c>
      <c r="Z70" s="20">
        <v>0.96760000000000002</v>
      </c>
      <c r="AA70" s="9">
        <v>1020.16</v>
      </c>
      <c r="AB70" s="10">
        <v>8.5</v>
      </c>
      <c r="AC70" s="2">
        <v>619.04</v>
      </c>
      <c r="AD70" s="11">
        <v>1.4912000000000001</v>
      </c>
      <c r="AE70" s="11">
        <v>1.6413</v>
      </c>
    </row>
    <row r="71" spans="1:31" x14ac:dyDescent="0.25">
      <c r="A71" s="1" t="s">
        <v>90</v>
      </c>
      <c r="B71" s="20">
        <v>2.5999999999999999E-3</v>
      </c>
      <c r="C71" s="8">
        <v>620</v>
      </c>
      <c r="D71" s="20">
        <v>0.977518356298127</v>
      </c>
      <c r="E71" s="10">
        <v>765.78</v>
      </c>
      <c r="F71" s="10">
        <v>8.25</v>
      </c>
      <c r="G71" s="2">
        <v>649.67999999999995</v>
      </c>
      <c r="H71" s="11">
        <v>1.54393422320299</v>
      </c>
      <c r="I71" s="11">
        <v>1.6665922434840399</v>
      </c>
      <c r="K71" s="1">
        <v>983.20463210037803</v>
      </c>
      <c r="L71" s="15" t="e">
        <f t="shared" si="2"/>
        <v>#NUM!</v>
      </c>
      <c r="M71" s="2">
        <f t="shared" si="3"/>
        <v>893.15</v>
      </c>
      <c r="O71" s="1">
        <v>1.87252436664557E-3</v>
      </c>
      <c r="U71" s="11">
        <v>4.3476781427621803E-3</v>
      </c>
      <c r="V71" s="11">
        <v>0</v>
      </c>
      <c r="X71" s="20">
        <v>2.5999999999999999E-3</v>
      </c>
      <c r="Y71" s="8">
        <v>620</v>
      </c>
      <c r="Z71" s="20">
        <v>0.97750000000000004</v>
      </c>
      <c r="AA71" s="9">
        <v>1038.93</v>
      </c>
      <c r="AB71" s="10">
        <v>8.3000000000000007</v>
      </c>
      <c r="AC71" s="2">
        <v>649.67999999999995</v>
      </c>
      <c r="AD71" s="11">
        <v>1.5439000000000001</v>
      </c>
      <c r="AE71" s="11">
        <v>1.6666000000000001</v>
      </c>
    </row>
    <row r="72" spans="1:31" x14ac:dyDescent="0.25">
      <c r="A72" s="1" t="s">
        <v>91</v>
      </c>
      <c r="B72" s="20">
        <v>2.3999999999999998E-3</v>
      </c>
      <c r="C72" s="8">
        <v>640</v>
      </c>
      <c r="D72" s="20">
        <v>0.98756412435462304</v>
      </c>
      <c r="E72" s="10">
        <v>784.73</v>
      </c>
      <c r="F72" s="10">
        <v>8.07</v>
      </c>
      <c r="G72" s="2">
        <v>671.71</v>
      </c>
      <c r="H72" s="11">
        <v>1.59486007753357</v>
      </c>
      <c r="I72" s="11">
        <v>1.68939875822839</v>
      </c>
      <c r="K72" s="1">
        <v>996.85384210131895</v>
      </c>
      <c r="L72" s="15" t="e">
        <f t="shared" si="2"/>
        <v>#NUM!</v>
      </c>
      <c r="M72" s="2">
        <f t="shared" si="3"/>
        <v>913.15</v>
      </c>
      <c r="O72" s="1">
        <v>1.06555429836014E-3</v>
      </c>
      <c r="U72" s="11">
        <v>3.8371777141163101E-3</v>
      </c>
      <c r="V72" s="11">
        <v>0</v>
      </c>
      <c r="X72" s="20">
        <v>2.3999999999999998E-3</v>
      </c>
      <c r="Y72" s="8">
        <v>640</v>
      </c>
      <c r="Z72" s="20">
        <v>0.98760000000000003</v>
      </c>
      <c r="AA72" s="9">
        <v>1057.8800000000001</v>
      </c>
      <c r="AB72" s="10">
        <v>8.1</v>
      </c>
      <c r="AC72" s="2">
        <v>671.71</v>
      </c>
      <c r="AD72" s="11">
        <v>1.5949</v>
      </c>
      <c r="AE72" s="11">
        <v>1.6894</v>
      </c>
    </row>
    <row r="73" spans="1:31" x14ac:dyDescent="0.25">
      <c r="A73" s="1" t="s">
        <v>92</v>
      </c>
      <c r="B73" s="20">
        <v>2.2000000000000001E-3</v>
      </c>
      <c r="C73" s="8">
        <v>660</v>
      </c>
      <c r="D73" s="20">
        <v>0.99770392966762</v>
      </c>
      <c r="E73" s="10">
        <v>803.84</v>
      </c>
      <c r="F73" s="10">
        <v>7.89</v>
      </c>
      <c r="G73" s="2">
        <v>699.43</v>
      </c>
      <c r="H73" s="11">
        <v>1.6437080711952901</v>
      </c>
      <c r="I73" s="11">
        <v>1.7105040176188799</v>
      </c>
      <c r="K73" s="1">
        <v>1011.16367422157</v>
      </c>
      <c r="L73" s="15" t="e">
        <f t="shared" si="2"/>
        <v>#NUM!</v>
      </c>
      <c r="M73" s="2">
        <f t="shared" si="3"/>
        <v>933.15</v>
      </c>
      <c r="O73" s="1">
        <v>6.1355390593526395E-4</v>
      </c>
      <c r="U73" s="11">
        <v>4.2486089927731303E-3</v>
      </c>
      <c r="V73" s="11">
        <v>0</v>
      </c>
      <c r="X73" s="20">
        <v>2.2000000000000001E-3</v>
      </c>
      <c r="Y73" s="8">
        <v>660</v>
      </c>
      <c r="Z73" s="20">
        <v>0.99770000000000003</v>
      </c>
      <c r="AA73" s="9">
        <v>1076.99</v>
      </c>
      <c r="AB73" s="10">
        <v>7.9</v>
      </c>
      <c r="AC73" s="2">
        <v>699.43</v>
      </c>
      <c r="AD73" s="11">
        <v>1.6436999999999999</v>
      </c>
      <c r="AE73" s="11">
        <v>1.7104999999999999</v>
      </c>
    </row>
    <row r="74" spans="1:31" x14ac:dyDescent="0.25">
      <c r="A74" s="1" t="s">
        <v>93</v>
      </c>
      <c r="B74" s="20">
        <v>2E-3</v>
      </c>
      <c r="C74" s="8">
        <v>680</v>
      </c>
      <c r="D74" s="20">
        <v>1.0079099093463</v>
      </c>
      <c r="E74" s="10">
        <v>823.12</v>
      </c>
      <c r="F74" s="10">
        <v>7.73</v>
      </c>
      <c r="G74" s="2">
        <v>724.88</v>
      </c>
      <c r="H74" s="11">
        <v>1.69018566083369</v>
      </c>
      <c r="I74" s="11">
        <v>1.73074236392745</v>
      </c>
      <c r="K74" s="1">
        <v>1025.5297579841499</v>
      </c>
      <c r="L74" s="15" t="e">
        <f t="shared" si="2"/>
        <v>#NUM!</v>
      </c>
      <c r="M74" s="2">
        <f t="shared" si="3"/>
        <v>953.15</v>
      </c>
      <c r="O74" s="1">
        <v>3.5006073715049301E-4</v>
      </c>
      <c r="U74" s="11">
        <v>4.8434524172898596E-3</v>
      </c>
      <c r="V74" s="11">
        <v>0</v>
      </c>
      <c r="X74" s="20">
        <v>2E-3</v>
      </c>
      <c r="Y74" s="8">
        <v>680</v>
      </c>
      <c r="Z74" s="20">
        <v>1.0079</v>
      </c>
      <c r="AA74" s="9">
        <v>1096.27</v>
      </c>
      <c r="AB74" s="10">
        <v>7.7</v>
      </c>
      <c r="AC74" s="2">
        <v>724.88</v>
      </c>
      <c r="AD74" s="11">
        <v>1.6901999999999999</v>
      </c>
      <c r="AE74" s="11">
        <v>1.7306999999999999</v>
      </c>
    </row>
    <row r="75" spans="1:31" x14ac:dyDescent="0.25">
      <c r="A75" s="1" t="s">
        <v>94</v>
      </c>
      <c r="B75" s="20">
        <v>1.8E-3</v>
      </c>
      <c r="C75" s="8">
        <v>700</v>
      </c>
      <c r="D75" s="20">
        <v>1.0181542004998501</v>
      </c>
      <c r="E75" s="10">
        <v>842.55</v>
      </c>
      <c r="F75" s="10">
        <v>7.58</v>
      </c>
      <c r="G75" s="2">
        <v>757.55</v>
      </c>
      <c r="H75" s="11">
        <v>1.7340072384073499</v>
      </c>
      <c r="I75" s="11">
        <v>1.75101165709096</v>
      </c>
      <c r="K75" s="1">
        <v>1035.31565481947</v>
      </c>
      <c r="L75" s="15" t="e">
        <f t="shared" si="2"/>
        <v>#NUM!</v>
      </c>
      <c r="M75" s="2">
        <f t="shared" si="3"/>
        <v>973.15</v>
      </c>
      <c r="O75" s="1">
        <v>1.89346166587456E-4</v>
      </c>
      <c r="U75" s="11">
        <v>4.8831939541744401E-3</v>
      </c>
      <c r="V75" s="11">
        <v>0</v>
      </c>
      <c r="X75" s="20">
        <v>1.8E-3</v>
      </c>
      <c r="Y75" s="8">
        <v>700</v>
      </c>
      <c r="Z75" s="20">
        <v>1.0182</v>
      </c>
      <c r="AA75" s="9">
        <v>1115.7</v>
      </c>
      <c r="AB75" s="10">
        <v>7.6</v>
      </c>
      <c r="AC75" s="2">
        <v>757.55</v>
      </c>
      <c r="AD75" s="11">
        <v>1.734</v>
      </c>
      <c r="AE75" s="11">
        <v>1.7509999999999999</v>
      </c>
    </row>
    <row r="76" spans="1:31" x14ac:dyDescent="0.25">
      <c r="A76" s="1" t="s">
        <v>95</v>
      </c>
      <c r="B76" s="20">
        <v>1.6999999999999999E-3</v>
      </c>
      <c r="C76" s="8">
        <v>720</v>
      </c>
      <c r="D76" s="20">
        <v>1.0282678571428501</v>
      </c>
      <c r="E76" s="10">
        <v>862.04</v>
      </c>
      <c r="F76" s="10">
        <v>7.43</v>
      </c>
      <c r="G76" s="2">
        <v>818.75</v>
      </c>
      <c r="H76" s="11">
        <v>1.7752656885017699</v>
      </c>
      <c r="I76" s="11">
        <v>1.7731629352637699</v>
      </c>
      <c r="K76" s="1">
        <v>1045.10155165479</v>
      </c>
      <c r="L76" s="15" t="e">
        <f t="shared" si="2"/>
        <v>#NUM!</v>
      </c>
      <c r="M76" s="2">
        <f t="shared" si="3"/>
        <v>993.15</v>
      </c>
      <c r="O76" s="25">
        <v>9.7001742328266905E-5</v>
      </c>
      <c r="U76" s="11">
        <v>4.9619042710041398E-3</v>
      </c>
      <c r="V76" s="11">
        <v>0</v>
      </c>
      <c r="X76" s="20">
        <v>1.6999999999999999E-3</v>
      </c>
      <c r="Y76" s="8">
        <v>720</v>
      </c>
      <c r="Z76" s="20">
        <v>1.0283</v>
      </c>
      <c r="AA76" s="9">
        <v>1135.19</v>
      </c>
      <c r="AB76" s="10">
        <v>7.4</v>
      </c>
      <c r="AC76" s="2">
        <v>818.75</v>
      </c>
      <c r="AD76" s="11">
        <v>1.7753000000000001</v>
      </c>
      <c r="AE76" s="11">
        <v>1.7732000000000001</v>
      </c>
    </row>
    <row r="77" spans="1:31" x14ac:dyDescent="0.25">
      <c r="A77" s="1" t="s">
        <v>96</v>
      </c>
      <c r="B77" s="20">
        <v>1.6000000000000001E-3</v>
      </c>
      <c r="C77" s="8">
        <v>740</v>
      </c>
      <c r="D77" s="20">
        <v>1.03829642857142</v>
      </c>
      <c r="E77" s="10">
        <v>881.61</v>
      </c>
      <c r="F77" s="10">
        <v>7.28</v>
      </c>
      <c r="G77" s="2">
        <v>862.73</v>
      </c>
      <c r="H77" s="11">
        <v>1.81341046267531</v>
      </c>
      <c r="I77" s="11">
        <v>1.79790558653613</v>
      </c>
      <c r="K77" s="1">
        <v>1054.88744849011</v>
      </c>
      <c r="L77" s="15" t="e">
        <f t="shared" si="2"/>
        <v>#NUM!</v>
      </c>
      <c r="M77" s="2">
        <f t="shared" si="3"/>
        <v>1013.15</v>
      </c>
      <c r="O77" s="25">
        <v>5.0751915902003602E-5</v>
      </c>
      <c r="U77" s="11">
        <v>4.2396909975440603E-3</v>
      </c>
      <c r="V77" s="11">
        <v>0</v>
      </c>
      <c r="X77" s="20">
        <v>1.6000000000000001E-3</v>
      </c>
      <c r="Y77" s="8">
        <v>740</v>
      </c>
      <c r="Z77" s="20">
        <v>1.0383</v>
      </c>
      <c r="AA77" s="9">
        <v>1154.76</v>
      </c>
      <c r="AB77" s="10">
        <v>7.3</v>
      </c>
      <c r="AC77" s="2">
        <v>862.73</v>
      </c>
      <c r="AD77" s="11">
        <v>1.8133999999999999</v>
      </c>
      <c r="AE77" s="11">
        <v>1.7979000000000001</v>
      </c>
    </row>
    <row r="78" spans="1:31" x14ac:dyDescent="0.25">
      <c r="A78" s="1" t="s">
        <v>97</v>
      </c>
      <c r="B78" s="20">
        <v>2.5000000000000001E-3</v>
      </c>
      <c r="C78" s="8">
        <v>775</v>
      </c>
      <c r="D78" s="20">
        <v>1.05584642857142</v>
      </c>
      <c r="E78" s="10">
        <v>916.21</v>
      </c>
      <c r="F78" s="10">
        <v>7.03</v>
      </c>
      <c r="G78" s="2">
        <v>922.64</v>
      </c>
      <c r="H78" s="11">
        <v>1.87032074159283</v>
      </c>
      <c r="I78" s="11">
        <v>1.85060606105076</v>
      </c>
      <c r="K78" s="1">
        <v>1072.0127679519201</v>
      </c>
      <c r="L78" s="15" t="e">
        <f t="shared" si="2"/>
        <v>#NUM!</v>
      </c>
      <c r="M78" s="2">
        <f t="shared" si="3"/>
        <v>1048.1500000000001</v>
      </c>
      <c r="O78" s="25">
        <v>2.1260581646245301E-5</v>
      </c>
      <c r="U78" s="11">
        <v>6.3618010129855001E-3</v>
      </c>
      <c r="V78" s="11">
        <v>0</v>
      </c>
      <c r="X78" s="20">
        <v>2.5000000000000001E-3</v>
      </c>
      <c r="Y78" s="8">
        <v>775</v>
      </c>
      <c r="Z78" s="20">
        <v>1.0558000000000001</v>
      </c>
      <c r="AA78" s="9">
        <v>1189.3599999999999</v>
      </c>
      <c r="AB78" s="10">
        <v>7</v>
      </c>
      <c r="AC78" s="2">
        <v>922.64</v>
      </c>
      <c r="AD78" s="11">
        <v>1.8703000000000001</v>
      </c>
      <c r="AE78" s="11">
        <v>1.8506</v>
      </c>
    </row>
    <row r="79" spans="1:31" x14ac:dyDescent="0.25">
      <c r="A79" s="1" t="s">
        <v>98</v>
      </c>
      <c r="B79" s="20">
        <v>3.2000000000000002E-3</v>
      </c>
      <c r="C79" s="8">
        <v>825</v>
      </c>
      <c r="D79" s="20">
        <v>1.0809178571428499</v>
      </c>
      <c r="E79" s="10">
        <v>966.46</v>
      </c>
      <c r="F79" s="10">
        <v>6.63</v>
      </c>
      <c r="G79" s="2">
        <v>1031.5999999999999</v>
      </c>
      <c r="H79" s="11">
        <v>1.9142888898661901</v>
      </c>
      <c r="I79" s="11">
        <v>1.98764429467545</v>
      </c>
      <c r="K79" s="1">
        <v>1096.4775100402201</v>
      </c>
      <c r="L79" s="15" t="e">
        <f t="shared" si="2"/>
        <v>#NUM!</v>
      </c>
      <c r="M79" s="2">
        <f t="shared" si="3"/>
        <v>1098.1500000000001</v>
      </c>
      <c r="O79" s="25">
        <v>4.8501053250224499E-6</v>
      </c>
      <c r="U79" s="11">
        <v>1.27794311928056E-3</v>
      </c>
      <c r="V79" s="11">
        <v>0</v>
      </c>
      <c r="X79" s="20">
        <v>3.2000000000000002E-3</v>
      </c>
      <c r="Y79" s="8">
        <v>825</v>
      </c>
      <c r="Z79" s="20">
        <v>1.0809</v>
      </c>
      <c r="AA79" s="9">
        <v>1239.6099999999999</v>
      </c>
      <c r="AB79" s="10">
        <v>6.6</v>
      </c>
      <c r="AC79" s="2">
        <v>1031.5999999999999</v>
      </c>
      <c r="AD79" s="11">
        <v>1.9142999999999999</v>
      </c>
      <c r="AE79" s="11">
        <v>1.9876</v>
      </c>
    </row>
    <row r="80" spans="1:31" x14ac:dyDescent="0.25">
      <c r="A80" s="1" t="s">
        <v>99</v>
      </c>
      <c r="B80" s="20">
        <v>3.0000000000000001E-3</v>
      </c>
      <c r="C80" s="8">
        <v>875</v>
      </c>
      <c r="D80" s="20">
        <v>1.1059892857142799</v>
      </c>
      <c r="E80" s="10">
        <v>978.82</v>
      </c>
      <c r="F80" s="10">
        <v>7.57</v>
      </c>
      <c r="G80" s="2">
        <v>1158.92</v>
      </c>
      <c r="H80" s="11">
        <v>3.5345531243513202</v>
      </c>
      <c r="I80" s="11">
        <v>1E-3</v>
      </c>
      <c r="K80" s="1">
        <v>1120.9422521285301</v>
      </c>
      <c r="L80" s="15" t="e">
        <f t="shared" si="2"/>
        <v>#NUM!</v>
      </c>
      <c r="M80" s="2">
        <f t="shared" si="3"/>
        <v>1148.1500000000001</v>
      </c>
      <c r="O80" s="25">
        <v>6.7997787294577998E-7</v>
      </c>
      <c r="U80" s="11">
        <v>1.3203196569082599E-3</v>
      </c>
      <c r="V80" s="11">
        <v>0</v>
      </c>
      <c r="X80" s="20">
        <v>3.0000000000000001E-3</v>
      </c>
      <c r="Y80" s="8">
        <v>875</v>
      </c>
      <c r="Z80" s="20">
        <v>1.1060000000000001</v>
      </c>
      <c r="AA80" s="9">
        <v>1251.97</v>
      </c>
      <c r="AB80" s="10">
        <v>7.6</v>
      </c>
      <c r="AC80" s="2">
        <v>1158.92</v>
      </c>
      <c r="AD80" s="11">
        <v>3.5346000000000002</v>
      </c>
      <c r="AE80" s="11">
        <v>1E-3</v>
      </c>
    </row>
    <row r="81" spans="6:9" x14ac:dyDescent="0.25">
      <c r="F81" s="26"/>
      <c r="G81" s="26"/>
      <c r="H81" s="26"/>
      <c r="I81" s="26"/>
    </row>
    <row r="82" spans="6:9" x14ac:dyDescent="0.25">
      <c r="F82" s="26"/>
      <c r="G82" s="26"/>
      <c r="H82" s="26"/>
      <c r="I82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19FDF-43AA-4E5E-BD56-F58F59E1BC0B}">
  <sheetPr codeName="Sheet1"/>
  <dimension ref="C1:U82"/>
  <sheetViews>
    <sheetView tabSelected="1" workbookViewId="0">
      <selection activeCell="J18" sqref="J18"/>
    </sheetView>
  </sheetViews>
  <sheetFormatPr defaultRowHeight="15" x14ac:dyDescent="0.25"/>
  <cols>
    <col min="4" max="4" width="10.85546875" customWidth="1"/>
    <col min="5" max="5" width="13.42578125" bestFit="1" customWidth="1"/>
    <col min="6" max="6" width="11" customWidth="1"/>
    <col min="7" max="7" width="11.42578125" customWidth="1"/>
    <col min="8" max="8" width="11.5703125" bestFit="1" customWidth="1"/>
    <col min="9" max="9" width="13.28515625" bestFit="1" customWidth="1"/>
    <col min="10" max="10" width="11.28515625" customWidth="1"/>
    <col min="16" max="16" width="13.7109375" style="1" customWidth="1"/>
    <col min="17" max="18" width="10.28515625" style="1" customWidth="1"/>
    <col min="21" max="21" width="9.5703125" bestFit="1" customWidth="1"/>
  </cols>
  <sheetData>
    <row r="1" spans="3:21" x14ac:dyDescent="0.25">
      <c r="C1" t="s">
        <v>5</v>
      </c>
      <c r="D1">
        <v>3</v>
      </c>
      <c r="G1" t="s">
        <v>104</v>
      </c>
    </row>
    <row r="2" spans="3:21" x14ac:dyDescent="0.25">
      <c r="D2">
        <v>20</v>
      </c>
      <c r="E2">
        <v>19.899999999999999</v>
      </c>
      <c r="G2" t="s">
        <v>113</v>
      </c>
    </row>
    <row r="3" spans="3:21" x14ac:dyDescent="0.25">
      <c r="C3" t="s">
        <v>109</v>
      </c>
      <c r="D3" s="36">
        <v>100000</v>
      </c>
    </row>
    <row r="4" spans="3:21" x14ac:dyDescent="0.25">
      <c r="C4" t="s">
        <v>6</v>
      </c>
      <c r="D4">
        <v>5</v>
      </c>
      <c r="P4" s="1" t="s">
        <v>17</v>
      </c>
      <c r="Q4" s="1">
        <f>SUMPRODUCT(Q7:Q82,MW)</f>
        <v>194.02055880993399</v>
      </c>
      <c r="R4" s="1">
        <f>SUMPRODUCT(R7:R82,MW)</f>
        <v>69.381447364822506</v>
      </c>
    </row>
    <row r="5" spans="3:21" x14ac:dyDescent="0.25">
      <c r="Q5" s="13">
        <f>SUM(Q7:Q82)</f>
        <v>0.999999999999998</v>
      </c>
      <c r="R5" s="13">
        <f>SUM(R7:R82)</f>
        <v>0.99999999999999845</v>
      </c>
      <c r="U5" s="39"/>
    </row>
    <row r="6" spans="3:21" x14ac:dyDescent="0.25">
      <c r="C6" t="s">
        <v>0</v>
      </c>
      <c r="D6" s="27" t="s">
        <v>103</v>
      </c>
      <c r="E6" s="27" t="s">
        <v>100</v>
      </c>
      <c r="F6" s="27" t="s">
        <v>110</v>
      </c>
      <c r="G6" s="27" t="s">
        <v>114</v>
      </c>
      <c r="H6" s="27" t="s">
        <v>120</v>
      </c>
      <c r="I6" s="27" t="s">
        <v>121</v>
      </c>
      <c r="J6" s="27" t="s">
        <v>111</v>
      </c>
      <c r="K6" s="27" t="s">
        <v>123</v>
      </c>
      <c r="N6" s="34"/>
      <c r="P6" s="1" t="s">
        <v>11</v>
      </c>
      <c r="Q6" s="16" t="s">
        <v>12</v>
      </c>
      <c r="R6" s="16" t="s">
        <v>12</v>
      </c>
    </row>
    <row r="7" spans="3:21" x14ac:dyDescent="0.25">
      <c r="C7" t="s">
        <v>101</v>
      </c>
      <c r="D7" s="37">
        <v>25.609265052769999</v>
      </c>
      <c r="E7" s="35" cm="1">
        <f t="array" ref="E7">StreamEnthalpyFixedProps(CompNames,BP,SG,TCrit,PCrit,CritV,MW,Omega,Q7:Q82,D7,D2,HXMethod, TRUE)</f>
        <v>-412227.7571245947</v>
      </c>
      <c r="F7" s="34">
        <v>3350.1604000000002</v>
      </c>
      <c r="G7" s="30">
        <f>F7*Q4</f>
        <v>649999.99291091203</v>
      </c>
      <c r="H7" s="31">
        <f>-(E7-E8)/(D8-D7)</f>
        <v>1029.9633576702497</v>
      </c>
      <c r="I7" s="32">
        <f>H7/Q4</f>
        <v>5.3085269106931099</v>
      </c>
      <c r="J7" s="33">
        <f>I7*G7</f>
        <v>3450542.4543179073</v>
      </c>
      <c r="K7">
        <f>F7*H7</f>
        <v>3450542.4543179069</v>
      </c>
      <c r="N7" s="34"/>
      <c r="P7" s="1" t="s">
        <v>24</v>
      </c>
      <c r="Q7">
        <v>0</v>
      </c>
      <c r="R7" s="34">
        <v>3.6372622226573002E-3</v>
      </c>
      <c r="S7">
        <f>R7/$R$5</f>
        <v>3.6372622226573058E-3</v>
      </c>
    </row>
    <row r="8" spans="3:21" x14ac:dyDescent="0.25">
      <c r="C8" t="s">
        <v>102</v>
      </c>
      <c r="D8" s="28" cm="1">
        <f t="array" ref="D8">FlashPHWithFixedProps(CompNames, BP, SG,  TCrit, PCrit, TCrit, MW, Omega,Q7:Q82, E8, E2, HXMethod, TRUE)</f>
        <v>27.17252863687736</v>
      </c>
      <c r="E8" s="31">
        <f>E7+H15/F7</f>
        <v>-410617.65291458386</v>
      </c>
      <c r="N8" s="34"/>
      <c r="P8" s="1" t="s">
        <v>25</v>
      </c>
      <c r="Q8">
        <v>0</v>
      </c>
      <c r="R8" s="34">
        <v>0</v>
      </c>
      <c r="S8">
        <f t="shared" ref="S8:S71" si="0">R8/$R$5</f>
        <v>0</v>
      </c>
    </row>
    <row r="9" spans="3:21" x14ac:dyDescent="0.25">
      <c r="D9" s="28"/>
      <c r="E9" cm="1">
        <f t="array" ref="E9">StreamEnthalpyFixedProps(CompNames,BP,SG,TCrit,PCrit,CritV,MW,Omega,Q7:Q82,D7+10,D2,HXMethod, TRUE)</f>
        <v>-408533.1437313963</v>
      </c>
      <c r="H9" s="31">
        <f>-(E7-E9)/(10)</f>
        <v>369.46133931984076</v>
      </c>
      <c r="N9" s="34"/>
      <c r="P9" s="1" t="s">
        <v>26</v>
      </c>
      <c r="Q9">
        <v>0</v>
      </c>
      <c r="R9" s="34">
        <v>0</v>
      </c>
      <c r="S9">
        <f t="shared" si="0"/>
        <v>0</v>
      </c>
    </row>
    <row r="10" spans="3:21" x14ac:dyDescent="0.25">
      <c r="C10" t="s">
        <v>1</v>
      </c>
      <c r="D10" s="28"/>
      <c r="N10" s="34"/>
      <c r="P10" s="1" t="s">
        <v>27</v>
      </c>
      <c r="Q10">
        <v>0</v>
      </c>
      <c r="R10" s="34">
        <v>0</v>
      </c>
      <c r="S10">
        <f t="shared" si="0"/>
        <v>0</v>
      </c>
    </row>
    <row r="11" spans="3:21" x14ac:dyDescent="0.25">
      <c r="C11" t="s">
        <v>101</v>
      </c>
      <c r="D11" s="34">
        <v>82.053550287555893</v>
      </c>
      <c r="E11" cm="1">
        <f t="array" ref="E11">StreamEnthalpyFixedProps(CompNames,BP,SG,TCrit,PCrit,CritV,MW,Omega,R7:R82,D11,Press,HXMethod, TRUE)</f>
        <v>-130349.43210593497</v>
      </c>
      <c r="F11" s="34">
        <v>13395.1065</v>
      </c>
      <c r="G11" s="31">
        <f>F11*R4</f>
        <v>929371.8765759418</v>
      </c>
      <c r="H11" s="31">
        <f>-(E11-E12)/(D12-D11)</f>
        <v>981.93827997345818</v>
      </c>
      <c r="I11" s="32">
        <f>H11/R4</f>
        <v>14.152750011256128</v>
      </c>
      <c r="J11" s="33">
        <f>I11*G11</f>
        <v>13153167.836671289</v>
      </c>
      <c r="K11">
        <f>F11*H11</f>
        <v>13153167.836671289</v>
      </c>
      <c r="N11" s="34"/>
      <c r="P11" s="1" t="s">
        <v>28</v>
      </c>
      <c r="Q11">
        <v>0</v>
      </c>
      <c r="R11" s="34">
        <v>0</v>
      </c>
      <c r="S11">
        <f t="shared" si="0"/>
        <v>0</v>
      </c>
    </row>
    <row r="12" spans="3:21" x14ac:dyDescent="0.25">
      <c r="C12" t="s">
        <v>102</v>
      </c>
      <c r="D12" s="29" cm="1">
        <f t="array" ref="D12">FlashPHWithFixedProps(CompNames, BP, SG,  TCrit, PCrit, TCrit, MW, Omega,R7:R82, E12, Press, HXMethod, UseBips)</f>
        <v>81.643450801923791</v>
      </c>
      <c r="E12">
        <f>E11-H15/F11</f>
        <v>-130752.12448947456</v>
      </c>
      <c r="N12" s="34"/>
      <c r="P12" s="1" t="s">
        <v>29</v>
      </c>
      <c r="Q12">
        <v>0</v>
      </c>
      <c r="R12" s="34">
        <v>0</v>
      </c>
      <c r="S12">
        <f t="shared" si="0"/>
        <v>0</v>
      </c>
    </row>
    <row r="13" spans="3:21" x14ac:dyDescent="0.25">
      <c r="N13" s="34"/>
      <c r="P13" s="1" t="s">
        <v>30</v>
      </c>
      <c r="Q13">
        <v>0</v>
      </c>
      <c r="R13" s="34">
        <v>0</v>
      </c>
      <c r="S13">
        <f t="shared" si="0"/>
        <v>0</v>
      </c>
    </row>
    <row r="14" spans="3:21" x14ac:dyDescent="0.25">
      <c r="C14" t="s">
        <v>2</v>
      </c>
      <c r="D14" s="30">
        <f>H14/D18</f>
        <v>99950.741409916242</v>
      </c>
      <c r="F14" t="s">
        <v>105</v>
      </c>
      <c r="H14" s="35">
        <f>(EXP(UA / _MACP2 - UA / _MACP1) * D20 - D20) / (EXP(UA / _MACP2 - UA / _MACP1) * 1 / _MACP2 - 1 / _MACP1)</f>
        <v>5542828.8788695633</v>
      </c>
      <c r="I14">
        <f>(EXP(UA / _MACP2 - UA / _MACP1) * D20 - D20) / (EXP(UA / _MACP2 - UA / _MACP1) * 1 / _MACP2 - 1 / _MACP1)</f>
        <v>5542828.8788695633</v>
      </c>
      <c r="N14" s="34"/>
      <c r="P14" s="1" t="s">
        <v>31</v>
      </c>
      <c r="Q14">
        <v>1.3179314426523801E-3</v>
      </c>
      <c r="R14" s="34">
        <v>1.7343400524555E-3</v>
      </c>
      <c r="S14">
        <f t="shared" si="0"/>
        <v>1.7343400524555026E-3</v>
      </c>
      <c r="U14" s="38"/>
    </row>
    <row r="15" spans="3:21" x14ac:dyDescent="0.25">
      <c r="H15" s="35">
        <v>5394107.3642515801</v>
      </c>
      <c r="N15" s="34"/>
      <c r="P15" s="1" t="s">
        <v>32</v>
      </c>
      <c r="Q15">
        <v>0</v>
      </c>
      <c r="R15" s="34">
        <v>0</v>
      </c>
      <c r="S15">
        <f t="shared" si="0"/>
        <v>0</v>
      </c>
    </row>
    <row r="16" spans="3:21" x14ac:dyDescent="0.25">
      <c r="C16" t="s">
        <v>106</v>
      </c>
      <c r="D16" s="28">
        <f>D12-D7</f>
        <v>56.034185749153792</v>
      </c>
      <c r="N16" s="34"/>
      <c r="P16" s="1" t="s">
        <v>33</v>
      </c>
      <c r="Q16">
        <v>0</v>
      </c>
      <c r="R16" s="34">
        <v>0</v>
      </c>
      <c r="S16">
        <f t="shared" si="0"/>
        <v>0</v>
      </c>
    </row>
    <row r="17" spans="3:19" x14ac:dyDescent="0.25">
      <c r="C17" t="s">
        <v>107</v>
      </c>
      <c r="D17" s="28">
        <f>D11-D8</f>
        <v>54.881021650678534</v>
      </c>
      <c r="N17" s="34"/>
      <c r="P17" s="1" t="s">
        <v>34</v>
      </c>
      <c r="Q17">
        <v>0</v>
      </c>
      <c r="R17" s="34">
        <v>0</v>
      </c>
      <c r="S17">
        <f t="shared" si="0"/>
        <v>0</v>
      </c>
    </row>
    <row r="18" spans="3:19" x14ac:dyDescent="0.25">
      <c r="C18" t="s">
        <v>108</v>
      </c>
      <c r="D18" s="28">
        <f>(D16-D17)/LN(D16/D17)</f>
        <v>55.455605438056836</v>
      </c>
      <c r="F18" t="s">
        <v>115</v>
      </c>
      <c r="N18" s="34"/>
      <c r="P18" s="24" t="s">
        <v>35</v>
      </c>
      <c r="Q18">
        <v>2.8056610351366699E-2</v>
      </c>
      <c r="R18" s="34">
        <v>7.5726699648440796E-2</v>
      </c>
      <c r="S18">
        <f t="shared" si="0"/>
        <v>7.5726699648440907E-2</v>
      </c>
    </row>
    <row r="19" spans="3:19" x14ac:dyDescent="0.25">
      <c r="G19" t="s">
        <v>116</v>
      </c>
      <c r="N19" s="34"/>
      <c r="P19" s="1" t="s">
        <v>36</v>
      </c>
      <c r="Q19">
        <v>1.5639615834151799E-2</v>
      </c>
      <c r="R19" s="34">
        <v>6.1894434604316199E-2</v>
      </c>
      <c r="S19">
        <f t="shared" si="0"/>
        <v>6.1894434604316297E-2</v>
      </c>
    </row>
    <row r="20" spans="3:19" x14ac:dyDescent="0.25">
      <c r="C20" t="s">
        <v>112</v>
      </c>
      <c r="D20" s="28">
        <f>D11-D7</f>
        <v>56.444285234785895</v>
      </c>
      <c r="G20" t="s">
        <v>117</v>
      </c>
      <c r="N20" s="34"/>
      <c r="P20" s="1" t="s">
        <v>37</v>
      </c>
      <c r="Q20">
        <v>5.8743574302786303E-2</v>
      </c>
      <c r="R20" s="34">
        <v>0.25886919665567298</v>
      </c>
      <c r="S20">
        <f t="shared" si="0"/>
        <v>0.25886919665567337</v>
      </c>
    </row>
    <row r="21" spans="3:19" x14ac:dyDescent="0.25">
      <c r="G21" t="s">
        <v>118</v>
      </c>
      <c r="N21" s="34"/>
      <c r="P21" s="1" t="s">
        <v>38</v>
      </c>
      <c r="Q21">
        <v>9.2694781234946705E-3</v>
      </c>
      <c r="R21" s="34">
        <v>4.8670242334464299E-2</v>
      </c>
      <c r="S21">
        <f t="shared" si="0"/>
        <v>4.8670242334464375E-2</v>
      </c>
    </row>
    <row r="22" spans="3:19" x14ac:dyDescent="0.25">
      <c r="C22" t="s">
        <v>122</v>
      </c>
      <c r="D22" s="31">
        <f>F7*H7*(D8-D7)/3600</f>
        <v>1498.3631567365612</v>
      </c>
      <c r="E22" t="s">
        <v>124</v>
      </c>
      <c r="G22" t="s">
        <v>119</v>
      </c>
      <c r="N22" s="34"/>
      <c r="P22" s="1" t="s">
        <v>39</v>
      </c>
      <c r="Q22">
        <v>9.2694781234946792E-3</v>
      </c>
      <c r="R22" s="34">
        <v>4.9559050841293799E-2</v>
      </c>
      <c r="S22">
        <f t="shared" si="0"/>
        <v>4.9559050841293875E-2</v>
      </c>
    </row>
    <row r="23" spans="3:19" x14ac:dyDescent="0.25">
      <c r="N23" s="34"/>
      <c r="P23" s="1" t="s">
        <v>40</v>
      </c>
      <c r="Q23">
        <v>5.9490580879886503E-3</v>
      </c>
      <c r="R23" s="34">
        <v>3.1568556787172901E-2</v>
      </c>
      <c r="S23">
        <f t="shared" si="0"/>
        <v>3.1568556787172949E-2</v>
      </c>
    </row>
    <row r="24" spans="3:19" x14ac:dyDescent="0.25">
      <c r="N24" s="34"/>
      <c r="P24" s="1" t="s">
        <v>41</v>
      </c>
      <c r="Q24">
        <v>2.0655426664318799E-2</v>
      </c>
      <c r="R24" s="34">
        <v>0.107425921576505</v>
      </c>
      <c r="S24">
        <f t="shared" si="0"/>
        <v>0.10742592157650517</v>
      </c>
    </row>
    <row r="25" spans="3:19" x14ac:dyDescent="0.25">
      <c r="N25" s="34"/>
      <c r="P25" s="1" t="s">
        <v>42</v>
      </c>
      <c r="Q25">
        <v>2.8295368268982699E-2</v>
      </c>
      <c r="R25" s="34">
        <v>0.134434994051191</v>
      </c>
      <c r="S25">
        <f t="shared" si="0"/>
        <v>0.13443499405119122</v>
      </c>
    </row>
    <row r="26" spans="3:19" x14ac:dyDescent="0.25">
      <c r="N26" s="34"/>
      <c r="P26" s="1" t="s">
        <v>43</v>
      </c>
      <c r="Q26">
        <v>2.7695891307996601E-2</v>
      </c>
      <c r="R26" s="34">
        <v>0.106859555743055</v>
      </c>
      <c r="S26">
        <f t="shared" si="0"/>
        <v>0.10685955574305517</v>
      </c>
    </row>
    <row r="27" spans="3:19" x14ac:dyDescent="0.25">
      <c r="N27" s="34"/>
      <c r="P27" s="1" t="s">
        <v>44</v>
      </c>
      <c r="Q27">
        <v>2.7745628910747298E-2</v>
      </c>
      <c r="R27" s="34">
        <v>7.0980630016708998E-2</v>
      </c>
      <c r="S27">
        <f t="shared" si="0"/>
        <v>7.0980630016709109E-2</v>
      </c>
    </row>
    <row r="28" spans="3:19" x14ac:dyDescent="0.25">
      <c r="N28" s="34"/>
      <c r="P28" s="1" t="s">
        <v>45</v>
      </c>
      <c r="Q28">
        <v>2.8223674806649401E-2</v>
      </c>
      <c r="R28" s="34">
        <v>3.4609684926323298E-2</v>
      </c>
      <c r="S28">
        <f t="shared" si="0"/>
        <v>3.4609684926323353E-2</v>
      </c>
    </row>
    <row r="29" spans="3:19" x14ac:dyDescent="0.25">
      <c r="N29" s="34"/>
      <c r="P29" s="1" t="s">
        <v>46</v>
      </c>
      <c r="Q29">
        <v>2.90446155187867E-2</v>
      </c>
      <c r="R29" s="34">
        <v>1.1109448925366401E-2</v>
      </c>
      <c r="S29">
        <f t="shared" si="0"/>
        <v>1.1109448925366418E-2</v>
      </c>
    </row>
    <row r="30" spans="3:19" x14ac:dyDescent="0.25">
      <c r="N30" s="34"/>
      <c r="P30" s="1" t="s">
        <v>47</v>
      </c>
      <c r="Q30">
        <v>3.1050102940332801E-2</v>
      </c>
      <c r="R30" s="34">
        <v>2.45309546414156E-3</v>
      </c>
      <c r="S30">
        <f t="shared" si="0"/>
        <v>2.4530954641415639E-3</v>
      </c>
    </row>
    <row r="31" spans="3:19" x14ac:dyDescent="0.25">
      <c r="N31" s="34"/>
      <c r="P31" s="1" t="s">
        <v>48</v>
      </c>
      <c r="Q31">
        <v>3.3000023355164602E-2</v>
      </c>
      <c r="R31" s="34">
        <v>4.0536532170630502E-4</v>
      </c>
      <c r="S31">
        <f t="shared" si="0"/>
        <v>4.0536532170630567E-4</v>
      </c>
    </row>
    <row r="32" spans="3:19" x14ac:dyDescent="0.25">
      <c r="N32" s="34"/>
      <c r="P32" s="1" t="s">
        <v>49</v>
      </c>
      <c r="Q32">
        <v>3.3491559350794203E-2</v>
      </c>
      <c r="R32" s="40">
        <v>5.4362187528934397E-5</v>
      </c>
      <c r="S32">
        <f t="shared" si="0"/>
        <v>5.4362187528934478E-5</v>
      </c>
    </row>
    <row r="33" spans="14:19" x14ac:dyDescent="0.25">
      <c r="N33" s="34"/>
      <c r="P33" s="1" t="s">
        <v>50</v>
      </c>
      <c r="Q33">
        <v>3.2686896480651997E-2</v>
      </c>
      <c r="R33" s="40">
        <v>6.3935973302785302E-6</v>
      </c>
      <c r="S33">
        <f t="shared" si="0"/>
        <v>6.3935973302785404E-6</v>
      </c>
    </row>
    <row r="34" spans="14:19" x14ac:dyDescent="0.25">
      <c r="N34" s="34"/>
      <c r="P34" s="1" t="s">
        <v>51</v>
      </c>
      <c r="Q34">
        <v>3.0811599486297699E-2</v>
      </c>
      <c r="R34" s="40">
        <v>6.8631391929361104E-7</v>
      </c>
      <c r="S34">
        <f t="shared" si="0"/>
        <v>6.863139192936121E-7</v>
      </c>
    </row>
    <row r="35" spans="14:19" x14ac:dyDescent="0.25">
      <c r="N35" s="34"/>
      <c r="P35" s="1" t="s">
        <v>52</v>
      </c>
      <c r="Q35">
        <v>2.8822999859741998E-2</v>
      </c>
      <c r="R35" s="40">
        <v>7.0297430579163194E-8</v>
      </c>
      <c r="S35">
        <f t="shared" si="0"/>
        <v>7.02974305791633E-8</v>
      </c>
    </row>
    <row r="36" spans="14:19" x14ac:dyDescent="0.25">
      <c r="N36" s="34"/>
      <c r="P36" s="1" t="s">
        <v>53</v>
      </c>
      <c r="Q36">
        <v>2.8161742582187101E-2</v>
      </c>
      <c r="R36" s="40">
        <v>7.2933098435075403E-9</v>
      </c>
      <c r="S36">
        <f t="shared" si="0"/>
        <v>7.2933098435075519E-9</v>
      </c>
    </row>
    <row r="37" spans="14:19" x14ac:dyDescent="0.25">
      <c r="N37" s="34"/>
      <c r="P37" s="1" t="s">
        <v>54</v>
      </c>
      <c r="Q37">
        <v>2.50806206933681E-2</v>
      </c>
      <c r="R37" s="40">
        <v>6.7205984436145398E-10</v>
      </c>
      <c r="S37">
        <f t="shared" si="0"/>
        <v>6.7205984436145502E-10</v>
      </c>
    </row>
    <row r="38" spans="14:19" x14ac:dyDescent="0.25">
      <c r="N38" s="34"/>
      <c r="P38" s="1" t="s">
        <v>55</v>
      </c>
      <c r="Q38">
        <v>2.1361777143392501E-2</v>
      </c>
      <c r="R38" s="40">
        <v>5.7786117942333598E-11</v>
      </c>
      <c r="S38">
        <f t="shared" si="0"/>
        <v>5.7786117942333688E-11</v>
      </c>
    </row>
    <row r="39" spans="14:19" x14ac:dyDescent="0.25">
      <c r="N39" s="34"/>
      <c r="P39" s="1" t="s">
        <v>56</v>
      </c>
      <c r="Q39">
        <v>1.9278656223909701E-2</v>
      </c>
      <c r="R39" s="40">
        <v>5.1277366536737399E-12</v>
      </c>
      <c r="S39">
        <f t="shared" si="0"/>
        <v>5.127736653673748E-12</v>
      </c>
    </row>
    <row r="40" spans="14:19" x14ac:dyDescent="0.25">
      <c r="N40" s="34"/>
      <c r="P40" s="1" t="s">
        <v>57</v>
      </c>
      <c r="Q40">
        <v>1.78958881663926E-2</v>
      </c>
      <c r="R40" s="40">
        <v>6.0296156320206402E-11</v>
      </c>
      <c r="S40">
        <f t="shared" si="0"/>
        <v>6.0296156320206493E-11</v>
      </c>
    </row>
    <row r="41" spans="14:19" x14ac:dyDescent="0.25">
      <c r="N41" s="34"/>
      <c r="P41" s="1" t="s">
        <v>58</v>
      </c>
      <c r="Q41">
        <v>1.7170495460035601E-2</v>
      </c>
      <c r="R41" s="40">
        <v>8.5927410861741005E-11</v>
      </c>
      <c r="S41">
        <f t="shared" si="0"/>
        <v>8.5927410861741135E-11</v>
      </c>
    </row>
    <row r="42" spans="14:19" x14ac:dyDescent="0.25">
      <c r="N42" s="34"/>
      <c r="P42" s="1" t="s">
        <v>59</v>
      </c>
      <c r="Q42">
        <v>1.70646870707153E-2</v>
      </c>
      <c r="R42" s="40">
        <v>1.119938664705E-11</v>
      </c>
      <c r="S42">
        <f t="shared" si="0"/>
        <v>1.1199386647050018E-11</v>
      </c>
    </row>
    <row r="43" spans="14:19" x14ac:dyDescent="0.25">
      <c r="N43" s="34"/>
      <c r="P43" s="1" t="s">
        <v>60</v>
      </c>
      <c r="Q43">
        <v>1.7482140758650001E-2</v>
      </c>
      <c r="R43" s="40">
        <v>1.43417678322105E-12</v>
      </c>
      <c r="S43">
        <f t="shared" si="0"/>
        <v>1.4341767832210523E-12</v>
      </c>
    </row>
    <row r="44" spans="14:19" x14ac:dyDescent="0.25">
      <c r="N44" s="34"/>
      <c r="P44" s="1" t="s">
        <v>61</v>
      </c>
      <c r="Q44">
        <v>1.7661457867459499E-2</v>
      </c>
      <c r="R44" s="40">
        <v>2.3856389218890199E-11</v>
      </c>
      <c r="S44">
        <f t="shared" si="0"/>
        <v>2.3856389218890235E-11</v>
      </c>
    </row>
    <row r="45" spans="14:19" x14ac:dyDescent="0.25">
      <c r="N45" s="34"/>
      <c r="P45" s="1" t="s">
        <v>62</v>
      </c>
      <c r="Q45">
        <v>1.7553313381605699E-2</v>
      </c>
      <c r="R45" s="40">
        <v>3.8410034730794804E-12</v>
      </c>
      <c r="S45">
        <f t="shared" si="0"/>
        <v>3.841003473079486E-12</v>
      </c>
    </row>
    <row r="46" spans="14:19" x14ac:dyDescent="0.25">
      <c r="N46" s="34"/>
      <c r="P46" s="1" t="s">
        <v>63</v>
      </c>
      <c r="Q46">
        <v>1.7313746045365501E-2</v>
      </c>
      <c r="R46" s="40">
        <v>5.8941410406105196E-13</v>
      </c>
      <c r="S46">
        <f t="shared" si="0"/>
        <v>5.8941410406105286E-13</v>
      </c>
    </row>
    <row r="47" spans="14:19" x14ac:dyDescent="0.25">
      <c r="N47" s="34"/>
      <c r="P47" s="1" t="s">
        <v>64</v>
      </c>
      <c r="Q47">
        <v>1.6958874855811101E-2</v>
      </c>
      <c r="R47" s="40">
        <v>2.37733608716926E-11</v>
      </c>
      <c r="S47">
        <f t="shared" si="0"/>
        <v>2.3773360871692636E-11</v>
      </c>
    </row>
    <row r="48" spans="14:19" x14ac:dyDescent="0.25">
      <c r="N48" s="34"/>
      <c r="P48" s="1" t="s">
        <v>65</v>
      </c>
      <c r="Q48">
        <v>1.65033676930691E-2</v>
      </c>
      <c r="R48" s="40">
        <v>4.8249837548534698E-12</v>
      </c>
      <c r="S48">
        <f t="shared" si="0"/>
        <v>4.824983754853477E-12</v>
      </c>
    </row>
    <row r="49" spans="14:19" x14ac:dyDescent="0.25">
      <c r="N49" s="34"/>
      <c r="P49" s="1" t="s">
        <v>66</v>
      </c>
      <c r="Q49">
        <v>1.59588922533122E-2</v>
      </c>
      <c r="R49" s="40">
        <v>9.47774590491103E-13</v>
      </c>
      <c r="S49">
        <f t="shared" si="0"/>
        <v>9.4777459049110441E-13</v>
      </c>
    </row>
    <row r="50" spans="14:19" x14ac:dyDescent="0.25">
      <c r="N50" s="34"/>
      <c r="P50" s="1" t="s">
        <v>67</v>
      </c>
      <c r="Q50">
        <v>1.53323418188571E-2</v>
      </c>
      <c r="R50" s="40">
        <v>1.19503900172488E-24</v>
      </c>
      <c r="S50">
        <f t="shared" si="0"/>
        <v>1.1950390017248818E-24</v>
      </c>
    </row>
    <row r="51" spans="14:19" x14ac:dyDescent="0.25">
      <c r="N51" s="34"/>
      <c r="P51" s="1" t="s">
        <v>68</v>
      </c>
      <c r="Q51">
        <v>1.46312083097015E-2</v>
      </c>
      <c r="R51" s="40">
        <v>2.8404932329030399E-11</v>
      </c>
      <c r="S51">
        <f t="shared" si="0"/>
        <v>2.8404932329030444E-11</v>
      </c>
    </row>
    <row r="52" spans="14:19" x14ac:dyDescent="0.25">
      <c r="N52" s="34"/>
      <c r="P52" s="1" t="s">
        <v>69</v>
      </c>
      <c r="Q52">
        <v>1.3862400077292799E-2</v>
      </c>
      <c r="R52" s="40">
        <v>7.7170292935546001E-12</v>
      </c>
      <c r="S52">
        <f t="shared" si="0"/>
        <v>7.7170292935546114E-12</v>
      </c>
    </row>
    <row r="53" spans="14:19" x14ac:dyDescent="0.25">
      <c r="N53" s="34"/>
      <c r="P53" s="1" t="s">
        <v>70</v>
      </c>
      <c r="Q53">
        <v>1.3032282526627401E-2</v>
      </c>
      <c r="R53" s="40">
        <v>2.0860164306224601E-12</v>
      </c>
      <c r="S53">
        <f t="shared" si="0"/>
        <v>2.0860164306224633E-12</v>
      </c>
    </row>
    <row r="54" spans="14:19" x14ac:dyDescent="0.25">
      <c r="N54" s="34"/>
      <c r="P54" s="1" t="s">
        <v>71</v>
      </c>
      <c r="Q54">
        <v>1.21254797667966E-2</v>
      </c>
      <c r="R54" s="40">
        <v>5.6142753288287205E-13</v>
      </c>
      <c r="S54">
        <f t="shared" si="0"/>
        <v>5.6142753288287296E-13</v>
      </c>
    </row>
    <row r="55" spans="14:19" x14ac:dyDescent="0.25">
      <c r="N55" s="34"/>
      <c r="P55" s="1" t="s">
        <v>72</v>
      </c>
      <c r="Q55">
        <v>1.0983946041434E-2</v>
      </c>
      <c r="R55" s="40">
        <v>1.4806897152208901E-13</v>
      </c>
      <c r="S55">
        <f t="shared" si="0"/>
        <v>1.4806897152208923E-13</v>
      </c>
    </row>
    <row r="56" spans="14:19" x14ac:dyDescent="0.25">
      <c r="N56" s="34"/>
      <c r="P56" s="1" t="s">
        <v>73</v>
      </c>
      <c r="Q56">
        <v>1.01444301143928E-2</v>
      </c>
      <c r="R56" s="40">
        <v>3.7477449987656699E-11</v>
      </c>
      <c r="S56">
        <f t="shared" si="0"/>
        <v>3.7477449987656757E-11</v>
      </c>
    </row>
    <row r="57" spans="14:19" x14ac:dyDescent="0.25">
      <c r="N57" s="34"/>
      <c r="P57" s="1" t="s">
        <v>74</v>
      </c>
      <c r="Q57">
        <v>9.7355451879694993E-3</v>
      </c>
      <c r="R57" s="40">
        <v>1.1392561966508701E-11</v>
      </c>
      <c r="S57">
        <f t="shared" si="0"/>
        <v>1.1392561966508718E-11</v>
      </c>
    </row>
    <row r="58" spans="14:19" x14ac:dyDescent="0.25">
      <c r="N58" s="34"/>
      <c r="P58" s="1" t="s">
        <v>75</v>
      </c>
      <c r="Q58">
        <v>9.5687707904250508E-3</v>
      </c>
      <c r="R58" s="40">
        <v>3.4342442645224099E-12</v>
      </c>
      <c r="S58">
        <f t="shared" si="0"/>
        <v>3.4342442645224152E-12</v>
      </c>
    </row>
    <row r="59" spans="14:19" x14ac:dyDescent="0.25">
      <c r="N59" s="34"/>
      <c r="P59" s="1" t="s">
        <v>76</v>
      </c>
      <c r="Q59">
        <v>9.3775689453856198E-3</v>
      </c>
      <c r="R59" s="40">
        <v>9.9843591487599209E-13</v>
      </c>
      <c r="S59">
        <f t="shared" si="0"/>
        <v>9.9843591487599371E-13</v>
      </c>
    </row>
    <row r="60" spans="14:19" x14ac:dyDescent="0.25">
      <c r="N60" s="34"/>
      <c r="P60" s="1" t="s">
        <v>77</v>
      </c>
      <c r="Q60">
        <v>9.1510665520283599E-3</v>
      </c>
      <c r="R60" s="40">
        <v>2.79272732987921E-13</v>
      </c>
      <c r="S60">
        <f t="shared" si="0"/>
        <v>2.7927273298792145E-13</v>
      </c>
    </row>
    <row r="61" spans="14:19" x14ac:dyDescent="0.25">
      <c r="N61" s="34"/>
      <c r="P61" s="1" t="s">
        <v>78</v>
      </c>
      <c r="Q61">
        <v>8.8928785565056696E-3</v>
      </c>
      <c r="R61" s="40">
        <v>7.5078017226075801E-14</v>
      </c>
      <c r="S61">
        <f t="shared" si="0"/>
        <v>7.5078017226075915E-14</v>
      </c>
    </row>
    <row r="62" spans="14:19" x14ac:dyDescent="0.25">
      <c r="N62" s="34"/>
      <c r="P62" s="1" t="s">
        <v>79</v>
      </c>
      <c r="Q62">
        <v>8.6062786379040093E-3</v>
      </c>
      <c r="R62" s="40">
        <v>1.93768824840998E-14</v>
      </c>
      <c r="S62">
        <f t="shared" si="0"/>
        <v>1.9376882484099831E-14</v>
      </c>
    </row>
    <row r="63" spans="14:19" x14ac:dyDescent="0.25">
      <c r="N63" s="34"/>
      <c r="P63" s="1" t="s">
        <v>80</v>
      </c>
      <c r="Q63">
        <v>8.2942150505098001E-3</v>
      </c>
      <c r="R63" s="40">
        <v>4.7952081610827396E-15</v>
      </c>
      <c r="S63">
        <f t="shared" si="0"/>
        <v>4.7952081610827467E-15</v>
      </c>
    </row>
    <row r="64" spans="14:19" x14ac:dyDescent="0.25">
      <c r="N64" s="34"/>
      <c r="P64" s="1" t="s">
        <v>81</v>
      </c>
      <c r="Q64">
        <v>7.9587594115975695E-3</v>
      </c>
      <c r="R64" s="40">
        <v>1.1363999173343099E-15</v>
      </c>
      <c r="S64">
        <f t="shared" si="0"/>
        <v>1.1363999173343117E-15</v>
      </c>
    </row>
    <row r="65" spans="14:19" x14ac:dyDescent="0.25">
      <c r="N65" s="34"/>
      <c r="P65" s="1" t="s">
        <v>82</v>
      </c>
      <c r="Q65">
        <v>1.11855912409993E-2</v>
      </c>
      <c r="R65" s="40">
        <v>4.01694250999845E-11</v>
      </c>
      <c r="S65">
        <f t="shared" si="0"/>
        <v>4.0169425099984564E-11</v>
      </c>
    </row>
    <row r="66" spans="14:19" x14ac:dyDescent="0.25">
      <c r="N66" s="34"/>
      <c r="P66" s="1" t="s">
        <v>83</v>
      </c>
      <c r="Q66">
        <v>1.34712853659609E-2</v>
      </c>
      <c r="R66" s="40">
        <v>7.0471409241731303E-12</v>
      </c>
      <c r="S66">
        <f t="shared" si="0"/>
        <v>7.0471409241731416E-12</v>
      </c>
    </row>
    <row r="67" spans="14:19" x14ac:dyDescent="0.25">
      <c r="N67" s="34"/>
      <c r="P67" s="1" t="s">
        <v>84</v>
      </c>
      <c r="Q67">
        <v>1.18239468301592E-2</v>
      </c>
      <c r="R67" s="40">
        <v>8.0602093135728202E-13</v>
      </c>
      <c r="S67">
        <f t="shared" si="0"/>
        <v>8.0602093135728323E-13</v>
      </c>
    </row>
    <row r="68" spans="14:19" x14ac:dyDescent="0.25">
      <c r="N68" s="34"/>
      <c r="P68" s="1" t="s">
        <v>85</v>
      </c>
      <c r="Q68">
        <v>9.9803807812291999E-3</v>
      </c>
      <c r="R68" s="40">
        <v>7.8786815455796104E-14</v>
      </c>
      <c r="S68">
        <f t="shared" si="0"/>
        <v>7.878681545579623E-14</v>
      </c>
    </row>
    <row r="69" spans="14:19" x14ac:dyDescent="0.25">
      <c r="N69" s="34"/>
      <c r="P69" s="1" t="s">
        <v>86</v>
      </c>
      <c r="Q69">
        <v>7.9734407451325304E-3</v>
      </c>
      <c r="R69" s="40">
        <v>6.4398948760833503E-15</v>
      </c>
      <c r="S69">
        <f t="shared" si="0"/>
        <v>6.4398948760833605E-15</v>
      </c>
    </row>
    <row r="70" spans="14:19" x14ac:dyDescent="0.25">
      <c r="N70" s="34"/>
      <c r="P70" s="1" t="s">
        <v>87</v>
      </c>
      <c r="Q70">
        <v>6.8757306067310196E-3</v>
      </c>
      <c r="R70" s="40">
        <v>5.01851991549671E-16</v>
      </c>
      <c r="S70">
        <f t="shared" si="0"/>
        <v>5.0185199154967179E-16</v>
      </c>
    </row>
    <row r="71" spans="14:19" x14ac:dyDescent="0.25">
      <c r="N71" s="34"/>
      <c r="P71" s="1" t="s">
        <v>88</v>
      </c>
      <c r="Q71">
        <v>5.7166935812304597E-3</v>
      </c>
      <c r="R71" s="40">
        <v>3.3537258163092102E-17</v>
      </c>
      <c r="S71">
        <f t="shared" si="0"/>
        <v>3.3537258163092151E-17</v>
      </c>
    </row>
    <row r="72" spans="14:19" x14ac:dyDescent="0.25">
      <c r="N72" s="34"/>
      <c r="P72" s="1" t="s">
        <v>89</v>
      </c>
      <c r="Q72">
        <v>2.9959915705672301E-3</v>
      </c>
      <c r="R72" s="40">
        <v>1.26159901539008E-18</v>
      </c>
      <c r="S72">
        <f t="shared" ref="S72:S82" si="1">R72/$R$5</f>
        <v>1.2615990153900819E-18</v>
      </c>
    </row>
    <row r="73" spans="14:19" x14ac:dyDescent="0.25">
      <c r="N73" s="34"/>
      <c r="P73" s="1" t="s">
        <v>90</v>
      </c>
      <c r="Q73">
        <v>2.5962537867348901E-3</v>
      </c>
      <c r="R73" s="40">
        <v>7.0507236244693705E-20</v>
      </c>
      <c r="S73">
        <f t="shared" si="1"/>
        <v>7.0507236244693814E-20</v>
      </c>
    </row>
    <row r="74" spans="14:19" x14ac:dyDescent="0.25">
      <c r="N74" s="34"/>
      <c r="P74" s="1" t="s">
        <v>91</v>
      </c>
      <c r="Q74">
        <v>2.3692894451245901E-3</v>
      </c>
      <c r="R74" s="40">
        <v>3.5478326780105402E-11</v>
      </c>
      <c r="S74">
        <f t="shared" si="1"/>
        <v>3.547832678010546E-11</v>
      </c>
    </row>
    <row r="75" spans="14:19" x14ac:dyDescent="0.25">
      <c r="N75" s="34"/>
      <c r="P75" s="1" t="s">
        <v>92</v>
      </c>
      <c r="Q75">
        <v>2.16909527547457E-3</v>
      </c>
      <c r="R75" s="40">
        <v>8.5735376150140705E-12</v>
      </c>
      <c r="S75">
        <f t="shared" si="1"/>
        <v>8.5735376150140835E-12</v>
      </c>
    </row>
    <row r="76" spans="14:19" x14ac:dyDescent="0.25">
      <c r="N76" s="34"/>
      <c r="P76" s="1" t="s">
        <v>93</v>
      </c>
      <c r="Q76">
        <v>1.9930195483615402E-3</v>
      </c>
      <c r="R76" s="40">
        <v>2.0035232015952701E-12</v>
      </c>
      <c r="S76">
        <f t="shared" si="1"/>
        <v>2.0035232015952733E-12</v>
      </c>
    </row>
    <row r="77" spans="14:19" x14ac:dyDescent="0.25">
      <c r="N77" s="34"/>
      <c r="P77" s="1" t="s">
        <v>94</v>
      </c>
      <c r="Q77">
        <v>1.8388003071896099E-3</v>
      </c>
      <c r="R77" s="40">
        <v>4.5520054482854298E-13</v>
      </c>
      <c r="S77">
        <f t="shared" si="1"/>
        <v>4.5520054482854369E-13</v>
      </c>
    </row>
    <row r="78" spans="14:19" x14ac:dyDescent="0.25">
      <c r="N78" s="34"/>
      <c r="P78" s="1" t="s">
        <v>95</v>
      </c>
      <c r="Q78">
        <v>1.70394710008557E-3</v>
      </c>
      <c r="R78" s="40">
        <v>1.0092604938549201E-13</v>
      </c>
      <c r="S78">
        <f t="shared" si="1"/>
        <v>1.0092604938549216E-13</v>
      </c>
    </row>
    <row r="79" spans="14:19" x14ac:dyDescent="0.25">
      <c r="N79" s="34"/>
      <c r="P79" s="1" t="s">
        <v>96</v>
      </c>
      <c r="Q79">
        <v>1.5871881671879399E-3</v>
      </c>
      <c r="R79" s="40">
        <v>2.2015334431794601E-14</v>
      </c>
      <c r="S79">
        <f t="shared" si="1"/>
        <v>2.2015334431794636E-14</v>
      </c>
    </row>
    <row r="80" spans="14:19" x14ac:dyDescent="0.25">
      <c r="N80" s="34"/>
      <c r="P80" s="1" t="s">
        <v>97</v>
      </c>
      <c r="Q80">
        <v>2.5340688734614902E-3</v>
      </c>
      <c r="R80" s="40">
        <v>2.7233868453388698E-15</v>
      </c>
      <c r="S80">
        <f t="shared" si="1"/>
        <v>2.7233868453388742E-15</v>
      </c>
    </row>
    <row r="81" spans="14:19" x14ac:dyDescent="0.25">
      <c r="N81" s="34"/>
      <c r="P81" s="1" t="s">
        <v>98</v>
      </c>
      <c r="Q81">
        <v>3.2483572490146799E-3</v>
      </c>
      <c r="R81" s="40">
        <v>1.12714450311E-16</v>
      </c>
      <c r="S81">
        <f t="shared" si="1"/>
        <v>1.1271445031100018E-16</v>
      </c>
    </row>
    <row r="82" spans="14:19" x14ac:dyDescent="0.25">
      <c r="P82" s="1" t="s">
        <v>99</v>
      </c>
      <c r="Q82">
        <v>3.02455432625159E-3</v>
      </c>
      <c r="R82" s="40">
        <v>6.0581618631801096E-22</v>
      </c>
      <c r="S82">
        <f t="shared" si="1"/>
        <v>6.058161863180119E-22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Feed Components</vt:lpstr>
      <vt:lpstr>Sheet1</vt:lpstr>
      <vt:lpstr>_MACP1</vt:lpstr>
      <vt:lpstr>_MACP2</vt:lpstr>
      <vt:lpstr>BP</vt:lpstr>
      <vt:lpstr>CompBP</vt:lpstr>
      <vt:lpstr>CompNames</vt:lpstr>
      <vt:lpstr>CompSG</vt:lpstr>
      <vt:lpstr>CritV</vt:lpstr>
      <vt:lpstr>FeedEnthalpy</vt:lpstr>
      <vt:lpstr>FeedMoleArray</vt:lpstr>
      <vt:lpstr>Fractions</vt:lpstr>
      <vt:lpstr>HXMethod</vt:lpstr>
      <vt:lpstr>MACP1</vt:lpstr>
      <vt:lpstr>Method</vt:lpstr>
      <vt:lpstr>MW</vt:lpstr>
      <vt:lpstr>Omega</vt:lpstr>
      <vt:lpstr>P</vt:lpstr>
      <vt:lpstr>PCrit</vt:lpstr>
      <vt:lpstr>Press</vt:lpstr>
      <vt:lpstr>SG</vt:lpstr>
      <vt:lpstr>T</vt:lpstr>
      <vt:lpstr>TCrit</vt:lpstr>
      <vt:lpstr>UA</vt:lpstr>
      <vt:lpstr>UATemp</vt:lpstr>
      <vt:lpstr>UseBips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Anders</dc:creator>
  <cp:lastModifiedBy>M Anders</cp:lastModifiedBy>
  <dcterms:created xsi:type="dcterms:W3CDTF">2022-12-01T11:27:00Z</dcterms:created>
  <dcterms:modified xsi:type="dcterms:W3CDTF">2022-12-02T16:51:06Z</dcterms:modified>
</cp:coreProperties>
</file>