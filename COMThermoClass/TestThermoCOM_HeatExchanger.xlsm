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A\Desktop\Refbits Files\RefBitsNet6\COMThermoClass\"/>
    </mc:Choice>
  </mc:AlternateContent>
  <xr:revisionPtr revIDLastSave="0" documentId="13_ncr:1_{A4070990-2921-42AF-8D88-8A6BEBE23E9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functionGroups builtInGroupCount="19"/>
  <definedNames>
    <definedName name="CompNames">Sheet1!$B$2:$B$2</definedName>
    <definedName name="Frac">Sheet1!$C$2:$C$2</definedName>
    <definedName name="solver_adj" localSheetId="0" hidden="1">Sheet1!$Q$2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Sheet1!$Z$5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0.2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4" i="1" l="1"/>
  <c r="M22" i="1"/>
  <c r="Q20" i="1"/>
  <c r="T4" i="1"/>
  <c r="N30" i="1"/>
  <c r="T22" i="1"/>
  <c r="N12" i="1"/>
  <c r="D3" i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H5" i="1" a="1"/>
  <c r="G2" i="1" a="1"/>
  <c r="G13" i="1" a="1"/>
  <c r="G7" i="1" a="1"/>
  <c r="G9" i="1" a="1"/>
  <c r="G14" i="1" a="1"/>
  <c r="G10" i="1" a="1"/>
  <c r="G3" i="1" a="1"/>
  <c r="G11" i="1" a="1"/>
  <c r="G15" i="1" a="1"/>
  <c r="G4" i="1" a="1"/>
  <c r="G5" i="1" a="1"/>
  <c r="G8" i="1" a="1"/>
  <c r="U29" i="1" a="1"/>
  <c r="G18" i="1" a="1"/>
  <c r="G6" i="1" a="1"/>
  <c r="G16" i="1" a="1"/>
  <c r="G12" i="1" a="1"/>
  <c r="O22" i="1" a="1"/>
  <c r="G17" i="1" a="1"/>
  <c r="U11" i="1" a="1"/>
  <c r="O4" i="1" a="1"/>
  <c r="I2" i="1" a="1"/>
  <c r="I2" i="1" l="1"/>
  <c r="H5" i="1"/>
  <c r="G2" i="1"/>
  <c r="G9" i="1"/>
  <c r="G8" i="1"/>
  <c r="G5" i="1"/>
  <c r="G4" i="1"/>
  <c r="G15" i="1"/>
  <c r="G7" i="1"/>
  <c r="G12" i="1"/>
  <c r="O22" i="1"/>
  <c r="U22" i="1" s="1"/>
  <c r="U29" i="1"/>
  <c r="O30" i="1" s="1"/>
  <c r="U11" i="1"/>
  <c r="O4" i="1"/>
  <c r="G11" i="1"/>
  <c r="G16" i="1"/>
  <c r="G3" i="1"/>
  <c r="G13" i="1"/>
  <c r="G10" i="1"/>
  <c r="G6" i="1"/>
  <c r="G17" i="1"/>
  <c r="G14" i="1"/>
  <c r="G18" i="1"/>
  <c r="H18" i="1" a="1"/>
  <c r="S22" i="1" a="1"/>
  <c r="M30" i="1" a="1"/>
  <c r="H10" i="1" a="1"/>
  <c r="H17" i="1" a="1"/>
  <c r="H11" i="1" a="1"/>
  <c r="H13" i="1" a="1"/>
  <c r="H16" i="1" a="1"/>
  <c r="H12" i="1" a="1"/>
  <c r="H9" i="1" a="1"/>
  <c r="H15" i="1" a="1"/>
  <c r="H14" i="1" a="1"/>
  <c r="H4" i="1" a="1"/>
  <c r="H7" i="1" a="1"/>
  <c r="Y4" i="1" a="1"/>
  <c r="H3" i="1" a="1"/>
  <c r="H8" i="1" a="1"/>
  <c r="H6" i="1" a="1"/>
  <c r="U34" i="1" a="1"/>
  <c r="H2" i="1" a="1"/>
  <c r="H7" i="1" l="1"/>
  <c r="H4" i="1"/>
  <c r="H15" i="1"/>
  <c r="O12" i="1"/>
  <c r="H9" i="1"/>
  <c r="U34" i="1"/>
  <c r="X34" i="1" s="1"/>
  <c r="U4" i="1"/>
  <c r="Y4" i="1"/>
  <c r="M30" i="1"/>
  <c r="N33" i="1" s="1"/>
  <c r="S22" i="1"/>
  <c r="N34" i="1" s="1"/>
  <c r="H16" i="1"/>
  <c r="H17" i="1"/>
  <c r="H2" i="1"/>
  <c r="H10" i="1"/>
  <c r="H12" i="1"/>
  <c r="H11" i="1"/>
  <c r="H18" i="1"/>
  <c r="H14" i="1"/>
  <c r="H8" i="1"/>
  <c r="H3" i="1"/>
  <c r="H6" i="1"/>
  <c r="H13" i="1"/>
  <c r="S4" i="1" a="1"/>
  <c r="M12" i="1" a="1"/>
  <c r="V34" i="1" a="1"/>
  <c r="V34" i="1" l="1"/>
  <c r="W34" i="1" s="1"/>
  <c r="Y34" i="1"/>
  <c r="M12" i="1"/>
  <c r="N15" i="1" s="1"/>
  <c r="V4" i="1" s="1"/>
  <c r="S4" i="1"/>
  <c r="N35" i="1"/>
  <c r="N36" i="1" s="1"/>
  <c r="N16" i="1"/>
  <c r="N17" i="1" l="1"/>
  <c r="V11" i="1"/>
  <c r="Z34" i="1"/>
  <c r="N18" i="1"/>
  <c r="Y7" i="1" s="1"/>
  <c r="Z5" i="1" l="1"/>
  <c r="Y6" i="1"/>
  <c r="Y8" i="1" s="1"/>
  <c r="Y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<sst xmlns="http://schemas.openxmlformats.org/spreadsheetml/2006/main" count="63" uniqueCount="24">
  <si>
    <t>n-Butane</t>
  </si>
  <si>
    <t>P</t>
  </si>
  <si>
    <t>T</t>
  </si>
  <si>
    <t>DP</t>
  </si>
  <si>
    <t>H</t>
  </si>
  <si>
    <t>Q</t>
  </si>
  <si>
    <t>W</t>
  </si>
  <si>
    <t>LMTD</t>
  </si>
  <si>
    <t>DT1</t>
  </si>
  <si>
    <t>DT2</t>
  </si>
  <si>
    <t>UA</t>
  </si>
  <si>
    <t>F Mole/hr</t>
  </si>
  <si>
    <t>UA Target</t>
  </si>
  <si>
    <t>Max Duty</t>
  </si>
  <si>
    <t>UA Gradient</t>
  </si>
  <si>
    <t>UA Error</t>
  </si>
  <si>
    <t>Q Delta</t>
  </si>
  <si>
    <t>Find Upper level for Q</t>
  </si>
  <si>
    <t>Use Broyden</t>
  </si>
  <si>
    <t>Increase Q Incrementally until #Error</t>
  </si>
  <si>
    <t>LMTD Estimate</t>
  </si>
  <si>
    <t>TCOut</t>
  </si>
  <si>
    <t>THOut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</si>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</sst>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00"/>
    <numFmt numFmtId="166" formatCode="0.0"/>
    <numFmt numFmtId="167" formatCode="0.0000"/>
    <numFmt numFmtId="168" formatCode="0.00000"/>
    <numFmt numFmtId="169" formatCode="0.0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right" indent="1"/>
    </xf>
    <xf numFmtId="0" fontId="0" fillId="0" borderId="0" xfId="0" applyAlignment="1">
      <alignment horizontal="center"/>
    </xf>
    <xf numFmtId="2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0" borderId="0" xfId="0" applyAlignment="1">
      <alignment horizontal="left"/>
    </xf>
    <xf numFmtId="169" fontId="0" fillId="0" borderId="0" xfId="0" applyNumberFormat="1"/>
    <xf numFmtId="165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Sheet1!$X$15:$AA$15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2.1</c:v>
                </c:pt>
              </c:numCache>
            </c:numRef>
          </c:xVal>
          <c:yVal>
            <c:numRef>
              <c:f>Sheet1!$X$16:$AA$16</c:f>
              <c:numCache>
                <c:formatCode>General</c:formatCode>
                <c:ptCount val="4"/>
                <c:pt idx="0">
                  <c:v>0</c:v>
                </c:pt>
                <c:pt idx="1">
                  <c:v>2.3662626963643071E-2</c:v>
                </c:pt>
                <c:pt idx="2">
                  <c:v>0.13326265991134467</c:v>
                </c:pt>
                <c:pt idx="3">
                  <c:v>0.1681646291882215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B8-4C3D-AA4B-48061CA9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821487"/>
        <c:axId val="84825231"/>
      </c:scatterChart>
      <c:valAx>
        <c:axId val="84821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25231"/>
        <c:crosses val="autoZero"/>
        <c:crossBetween val="midCat"/>
      </c:valAx>
      <c:valAx>
        <c:axId val="8482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21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508000</xdr:colOff>
      <xdr:row>5</xdr:row>
      <xdr:rowOff>9458</xdr:rowOff>
    </xdr:from>
    <xdr:to>
      <xdr:col>18</xdr:col>
      <xdr:colOff>349250</xdr:colOff>
      <xdr:row>5</xdr:row>
      <xdr:rowOff>74083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D2CF096-27F1-4749-9355-64DF44306E2B}"/>
            </a:ext>
          </a:extLst>
        </xdr:cNvPr>
        <xdr:cNvCxnSpPr/>
      </xdr:nvCxnSpPr>
      <xdr:spPr>
        <a:xfrm flipV="1">
          <a:off x="7874000" y="961958"/>
          <a:ext cx="3524250" cy="646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444500</xdr:colOff>
      <xdr:row>9</xdr:row>
      <xdr:rowOff>21794</xdr:rowOff>
    </xdr:from>
    <xdr:to>
      <xdr:col>18</xdr:col>
      <xdr:colOff>381001</xdr:colOff>
      <xdr:row>9</xdr:row>
      <xdr:rowOff>76248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3710966-C3CF-4637-A707-8CC961BD4429}"/>
            </a:ext>
          </a:extLst>
        </xdr:cNvPr>
        <xdr:cNvCxnSpPr/>
      </xdr:nvCxnSpPr>
      <xdr:spPr>
        <a:xfrm flipH="1">
          <a:off x="7810500" y="1926794"/>
          <a:ext cx="3619501" cy="5445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508000</xdr:colOff>
      <xdr:row>22</xdr:row>
      <xdr:rowOff>190450</xdr:rowOff>
    </xdr:from>
    <xdr:to>
      <xdr:col>18</xdr:col>
      <xdr:colOff>409575</xdr:colOff>
      <xdr:row>23</xdr:row>
      <xdr:rowOff>9319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DA4CE2C-67C2-4CA0-96E9-F95F2AC1D0FC}"/>
            </a:ext>
          </a:extLst>
        </xdr:cNvPr>
        <xdr:cNvCxnSpPr/>
      </xdr:nvCxnSpPr>
      <xdr:spPr>
        <a:xfrm flipV="1">
          <a:off x="7874000" y="4762450"/>
          <a:ext cx="3584575" cy="93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447676</xdr:colOff>
      <xdr:row>27</xdr:row>
      <xdr:rowOff>22112</xdr:rowOff>
    </xdr:from>
    <xdr:to>
      <xdr:col>18</xdr:col>
      <xdr:colOff>359833</xdr:colOff>
      <xdr:row>27</xdr:row>
      <xdr:rowOff>76200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CADD6580-F3B8-441B-95BC-189EEB77F2D3}"/>
            </a:ext>
          </a:extLst>
        </xdr:cNvPr>
        <xdr:cNvCxnSpPr/>
      </xdr:nvCxnSpPr>
      <xdr:spPr>
        <a:xfrm flipH="1">
          <a:off x="7813676" y="5546612"/>
          <a:ext cx="3595157" cy="5408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539750</xdr:colOff>
      <xdr:row>16</xdr:row>
      <xdr:rowOff>57150</xdr:rowOff>
    </xdr:from>
    <xdr:to>
      <xdr:col>27</xdr:col>
      <xdr:colOff>275166</xdr:colOff>
      <xdr:row>30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8904AC1-5268-42CB-919C-F464F1D26E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B36"/>
  <sheetViews>
    <sheetView showGridLines="0" tabSelected="1" zoomScale="90" zoomScaleNormal="90" workbookViewId="0">
      <selection activeCell="J7" sqref="J7"/>
    </sheetView>
  </sheetViews>
  <sheetFormatPr defaultRowHeight="15" x14ac:dyDescent="0.25"/>
  <cols>
    <col min="24" max="24" width="11.42578125" customWidth="1"/>
    <col min="25" max="25" width="19.7109375" bestFit="1" customWidth="1"/>
    <col min="26" max="26" width="23" bestFit="1" customWidth="1"/>
  </cols>
  <sheetData>
    <row r="2" spans="2:27" x14ac:dyDescent="0.25">
      <c r="B2" t="s">
        <v>0</v>
      </c>
      <c r="C2">
        <v>1</v>
      </c>
      <c r="D2" s="5">
        <v>-5</v>
      </c>
      <c r="E2">
        <v>1</v>
      </c>
      <c r="F2">
        <v>5</v>
      </c>
      <c r="G2" t="e" cm="1">
        <f t="array" ref="G2">StreamEnthalpy(CompNames,Frac,D2,$E$2,$F$2)</f>
        <v>#VALUE!</v>
      </c>
      <c r="H2" s="5" t="e" cm="1">
        <f t="array" ref="H2">StreamTemperature(CompNames,Frac,G2,$E$2,5)</f>
        <v>#VALUE!</v>
      </c>
      <c r="I2" cm="1">
        <f t="array" ref="I2">Test1()</f>
        <v>199.9</v>
      </c>
      <c r="P2" s="3" t="s">
        <v>5</v>
      </c>
      <c r="Q2">
        <v>2</v>
      </c>
      <c r="R2" s="1" t="s">
        <v>6</v>
      </c>
    </row>
    <row r="3" spans="2:27" x14ac:dyDescent="0.25">
      <c r="D3" s="5">
        <f>D2+1</f>
        <v>-4</v>
      </c>
      <c r="G3" t="e" cm="1">
        <f t="array" ref="G3">StreamEnthalpy(CompNames,Frac,D3,$E$2,$F$2)</f>
        <v>#VALUE!</v>
      </c>
      <c r="H3" s="5" t="e" cm="1">
        <f t="array" ref="H3">StreamTemperature(CompNames,Frac,G3,$E$2,5)</f>
        <v>#VALUE!</v>
      </c>
      <c r="L3" s="1" t="s">
        <v>11</v>
      </c>
      <c r="M3" s="1" t="s">
        <v>2</v>
      </c>
      <c r="N3" s="1" t="s">
        <v>1</v>
      </c>
      <c r="O3" s="2" t="s">
        <v>4</v>
      </c>
      <c r="S3" s="1" t="s">
        <v>2</v>
      </c>
      <c r="T3" s="1" t="s">
        <v>1</v>
      </c>
      <c r="U3" s="1" t="s">
        <v>4</v>
      </c>
      <c r="V3" s="1" t="s">
        <v>23</v>
      </c>
    </row>
    <row r="4" spans="2:27" x14ac:dyDescent="0.25">
      <c r="D4" s="5">
        <f t="shared" ref="D4:D17" si="0">D3+1</f>
        <v>-3</v>
      </c>
      <c r="G4" t="e" cm="1">
        <f t="array" ref="G4">StreamEnthalpy(CompNames,Frac,D4,$E$2,$F$2)</f>
        <v>#VALUE!</v>
      </c>
      <c r="H4" s="5" t="e" cm="1">
        <f t="array" ref="H4">StreamTemperature(CompNames,Frac,G4,$E$2,5)</f>
        <v>#VALUE!</v>
      </c>
      <c r="L4">
        <v>1</v>
      </c>
      <c r="M4">
        <v>1</v>
      </c>
      <c r="N4">
        <v>1</v>
      </c>
      <c r="O4" t="e" cm="1">
        <f t="array" ref="O4">StreamEnthalpy(CompNames,Frac,M4,N4,$F$2)</f>
        <v>#VALUE!</v>
      </c>
      <c r="S4" s="5" t="e" cm="1">
        <f t="array" ref="S4">StreamTemperature(CompNames,Frac,U4,T4,5)</f>
        <v>#VALUE!</v>
      </c>
      <c r="T4">
        <f>N4-Q5</f>
        <v>0.9</v>
      </c>
      <c r="U4" t="e">
        <f>O4+Q2*3600</f>
        <v>#VALUE!</v>
      </c>
      <c r="V4" s="5" t="e">
        <f>(U4-O4)/N15</f>
        <v>#VALUE!</v>
      </c>
      <c r="X4" s="8" t="s">
        <v>13</v>
      </c>
      <c r="Y4" s="10" t="e" cm="1">
        <f t="array" ref="Y4">(StreamEnthalpy(CompNames,Frac,S11,T4,$F$2)-O4)/3600</f>
        <v>#VALUE!</v>
      </c>
    </row>
    <row r="5" spans="2:27" x14ac:dyDescent="0.25">
      <c r="D5" s="5">
        <f t="shared" si="0"/>
        <v>-2</v>
      </c>
      <c r="G5" t="e" cm="1">
        <f t="array" ref="G5">StreamEnthalpy(CompNames,Frac,D5,$E$2,$F$2)</f>
        <v>#VALUE!</v>
      </c>
      <c r="H5" s="5" t="e" cm="1">
        <f t="array" ref="H5">StreamTemperature(CompNames,Frac,G5,$E$2,5)</f>
        <v>#VALUE!</v>
      </c>
      <c r="P5" t="s">
        <v>3</v>
      </c>
      <c r="Q5">
        <v>0.1</v>
      </c>
      <c r="X5" s="8" t="s">
        <v>12</v>
      </c>
      <c r="Y5" s="4">
        <v>0.2</v>
      </c>
      <c r="Z5" s="9" t="e">
        <f>(Y5-N18)^2</f>
        <v>#VALUE!</v>
      </c>
    </row>
    <row r="6" spans="2:27" x14ac:dyDescent="0.25">
      <c r="D6" s="5">
        <f t="shared" si="0"/>
        <v>-1</v>
      </c>
      <c r="G6" t="e" cm="1">
        <f t="array" ref="G6">StreamEnthalpy(CompNames,Frac,D6,$E$2,$F$2)</f>
        <v>#VALUE!</v>
      </c>
      <c r="H6" s="5" t="e" cm="1">
        <f t="array" ref="H6">StreamTemperature(CompNames,Frac,G6,$E$2,5)</f>
        <v>#VALUE!</v>
      </c>
      <c r="X6" t="s">
        <v>15</v>
      </c>
      <c r="Y6" s="7" t="e">
        <f>Y5-N18</f>
        <v>#VALUE!</v>
      </c>
    </row>
    <row r="7" spans="2:27" x14ac:dyDescent="0.25">
      <c r="D7" s="5">
        <f t="shared" si="0"/>
        <v>0</v>
      </c>
      <c r="G7" t="e" cm="1">
        <f t="array" ref="G7">StreamEnthalpy(CompNames,Frac,D7,$E$2,$F$2)</f>
        <v>#VALUE!</v>
      </c>
      <c r="H7" s="5" t="e" cm="1">
        <f t="array" ref="H7">StreamTemperature(CompNames,Frac,G7,$E$2,5)</f>
        <v>#VALUE!</v>
      </c>
      <c r="X7" s="8" t="s">
        <v>14</v>
      </c>
      <c r="Y7" s="7" t="e">
        <f>(N36-N18)/0.1</f>
        <v>#VALUE!</v>
      </c>
    </row>
    <row r="8" spans="2:27" x14ac:dyDescent="0.25">
      <c r="D8" s="5">
        <f t="shared" si="0"/>
        <v>1</v>
      </c>
      <c r="G8" t="e" cm="1">
        <f t="array" ref="G8">StreamEnthalpy(CompNames,Frac,D8,$E$2,$F$2)</f>
        <v>#VALUE!</v>
      </c>
      <c r="H8" s="5" t="e" cm="1">
        <f t="array" ref="H8">StreamTemperature(CompNames,Frac,G8,$E$2,5)</f>
        <v>#VALUE!</v>
      </c>
      <c r="X8" s="8" t="s">
        <v>16</v>
      </c>
      <c r="Y8" s="6" t="e">
        <f>IF(Y6/Y7&gt;Q2/2,Q2/2,Y6/Y7*0.1)</f>
        <v>#VALUE!</v>
      </c>
    </row>
    <row r="9" spans="2:27" x14ac:dyDescent="0.25">
      <c r="D9" s="5">
        <f t="shared" si="0"/>
        <v>2</v>
      </c>
      <c r="G9" t="e" cm="1">
        <f t="array" ref="G9">StreamEnthalpy(CompNames,Frac,D9,$E$2,$F$2)</f>
        <v>#VALUE!</v>
      </c>
      <c r="H9" s="5" t="e" cm="1">
        <f t="array" ref="H9">StreamTemperature(CompNames,Frac,G9,$E$2,5)</f>
        <v>#VALUE!</v>
      </c>
      <c r="P9" t="s">
        <v>3</v>
      </c>
      <c r="Q9">
        <v>0.1</v>
      </c>
      <c r="Y9" s="6" t="e">
        <f>(Q2+Y8)</f>
        <v>#VALUE!</v>
      </c>
    </row>
    <row r="10" spans="2:27" x14ac:dyDescent="0.25">
      <c r="D10" s="5">
        <f t="shared" si="0"/>
        <v>3</v>
      </c>
      <c r="G10" t="e" cm="1">
        <f t="array" ref="G10">StreamEnthalpy(CompNames,Frac,D10,$E$2,$F$2)</f>
        <v>#VALUE!</v>
      </c>
      <c r="H10" s="5" t="e" cm="1">
        <f t="array" ref="H10">StreamTemperature(CompNames,Frac,G10,$E$2,5)</f>
        <v>#VALUE!</v>
      </c>
      <c r="R10" s="1" t="s">
        <v>11</v>
      </c>
      <c r="S10" s="1" t="s">
        <v>2</v>
      </c>
      <c r="T10" s="1" t="s">
        <v>1</v>
      </c>
      <c r="U10" s="1" t="s">
        <v>4</v>
      </c>
      <c r="V10" s="1" t="s">
        <v>23</v>
      </c>
    </row>
    <row r="11" spans="2:27" x14ac:dyDescent="0.25">
      <c r="D11" s="5">
        <f t="shared" si="0"/>
        <v>4</v>
      </c>
      <c r="G11" t="e" cm="1">
        <f t="array" ref="G11">StreamEnthalpy(CompNames,Frac,D11,$E$2,$F$2)</f>
        <v>#VALUE!</v>
      </c>
      <c r="H11" s="5" t="e" cm="1">
        <f t="array" ref="H11">StreamTemperature(CompNames,Frac,G11,$E$2,5)</f>
        <v>#VALUE!</v>
      </c>
      <c r="L11" s="1"/>
      <c r="M11" s="1" t="s">
        <v>2</v>
      </c>
      <c r="N11" s="1" t="s">
        <v>1</v>
      </c>
      <c r="O11" s="3" t="s">
        <v>4</v>
      </c>
      <c r="R11">
        <v>5</v>
      </c>
      <c r="S11">
        <v>100</v>
      </c>
      <c r="T11">
        <v>5</v>
      </c>
      <c r="U11" t="e" cm="1">
        <f t="array" ref="U11">StreamEnthalpy(CompNames,Frac,S11,T11,$F$2)</f>
        <v>#VALUE!</v>
      </c>
      <c r="V11" s="5" t="e">
        <f>(U11-O12)/N16</f>
        <v>#VALUE!</v>
      </c>
    </row>
    <row r="12" spans="2:27" x14ac:dyDescent="0.25">
      <c r="D12" s="5">
        <f t="shared" si="0"/>
        <v>5</v>
      </c>
      <c r="G12" t="e" cm="1">
        <f t="array" ref="G12">StreamEnthalpy(CompNames,Frac,D12,$E$2,$F$2)</f>
        <v>#VALUE!</v>
      </c>
      <c r="H12" s="5" t="e" cm="1">
        <f t="array" ref="H12">StreamTemperature(CompNames,Frac,G12,$E$2,5)</f>
        <v>#VALUE!</v>
      </c>
      <c r="M12" s="5" t="e" cm="1">
        <f t="array" ref="M12">StreamTemperature(CompNames,Frac,O12,N12,5)</f>
        <v>#VALUE!</v>
      </c>
      <c r="N12">
        <f>T11-Q9</f>
        <v>4.9000000000000004</v>
      </c>
      <c r="O12" t="e">
        <f>U11-Q2*3600</f>
        <v>#VALUE!</v>
      </c>
    </row>
    <row r="13" spans="2:27" x14ac:dyDescent="0.25">
      <c r="D13" s="5">
        <f t="shared" si="0"/>
        <v>6</v>
      </c>
      <c r="G13" t="e" cm="1">
        <f t="array" ref="G13">StreamEnthalpy(CompNames,Frac,D13,$E$2,$F$2)</f>
        <v>#VALUE!</v>
      </c>
      <c r="H13" s="5" t="e" cm="1">
        <f t="array" ref="H13">StreamTemperature(CompNames,Frac,G13,$E$2,5)</f>
        <v>#VALUE!</v>
      </c>
    </row>
    <row r="14" spans="2:27" x14ac:dyDescent="0.25">
      <c r="D14" s="5">
        <f t="shared" si="0"/>
        <v>7</v>
      </c>
      <c r="G14" t="e" cm="1">
        <f t="array" ref="G14">StreamEnthalpy(CompNames,Frac,D14,$E$2,$F$2)</f>
        <v>#VALUE!</v>
      </c>
      <c r="H14" s="5" t="e" cm="1">
        <f t="array" ref="H14">StreamTemperature(CompNames,Frac,G14,$E$2,5)</f>
        <v>#VALUE!</v>
      </c>
    </row>
    <row r="15" spans="2:27" x14ac:dyDescent="0.25">
      <c r="D15" s="5">
        <f t="shared" si="0"/>
        <v>8</v>
      </c>
      <c r="G15" t="e" cm="1">
        <f t="array" ref="G15">StreamEnthalpy(CompNames,Frac,D15,$E$2,$F$2)</f>
        <v>#VALUE!</v>
      </c>
      <c r="H15" s="5" t="e" cm="1">
        <f t="array" ref="H15">StreamTemperature(CompNames,Frac,G15,$E$2,5)</f>
        <v>#VALUE!</v>
      </c>
      <c r="M15" t="s">
        <v>8</v>
      </c>
      <c r="N15" s="5" t="e">
        <f>M12-M4</f>
        <v>#VALUE!</v>
      </c>
      <c r="X15">
        <v>0</v>
      </c>
      <c r="Y15">
        <v>1</v>
      </c>
      <c r="Z15">
        <v>2</v>
      </c>
      <c r="AA15">
        <v>2.1</v>
      </c>
    </row>
    <row r="16" spans="2:27" x14ac:dyDescent="0.25">
      <c r="D16" s="5">
        <f t="shared" si="0"/>
        <v>9</v>
      </c>
      <c r="G16" t="e" cm="1">
        <f t="array" ref="G16">StreamEnthalpy(CompNames,Frac,D16,$E$2,$F$2)</f>
        <v>#VALUE!</v>
      </c>
      <c r="H16" s="5" t="e" cm="1">
        <f t="array" ref="H16">StreamTemperature(CompNames,Frac,G16,$E$2,5)</f>
        <v>#VALUE!</v>
      </c>
      <c r="M16" t="s">
        <v>9</v>
      </c>
      <c r="N16" s="5" t="e">
        <f>S11-S4</f>
        <v>#VALUE!</v>
      </c>
      <c r="X16">
        <v>0</v>
      </c>
      <c r="Y16">
        <v>2.3662626963643071E-2</v>
      </c>
      <c r="Z16">
        <v>0.13326265991134467</v>
      </c>
      <c r="AA16">
        <v>0.1681646291882215</v>
      </c>
    </row>
    <row r="17" spans="4:21" x14ac:dyDescent="0.25">
      <c r="D17" s="5">
        <f t="shared" si="0"/>
        <v>10</v>
      </c>
      <c r="G17" t="e" cm="1">
        <f t="array" ref="G17">StreamEnthalpy(CompNames,Frac,D17,$E$2,$F$2)</f>
        <v>#VALUE!</v>
      </c>
      <c r="H17" s="5" t="e" cm="1">
        <f t="array" ref="H17">StreamTemperature(CompNames,Frac,G17,$E$2,5)</f>
        <v>#VALUE!</v>
      </c>
      <c r="M17" t="s">
        <v>7</v>
      </c>
      <c r="N17" s="5" t="e">
        <f>(N15-N16)/LN(N15/N16)</f>
        <v>#VALUE!</v>
      </c>
    </row>
    <row r="18" spans="4:21" x14ac:dyDescent="0.25">
      <c r="D18" s="5">
        <v>25</v>
      </c>
      <c r="G18" t="e" cm="1">
        <f t="array" ref="G18">StreamEnthalpy(CompNames,Frac,D18,$E$2,$F$2)</f>
        <v>#VALUE!</v>
      </c>
      <c r="H18" s="5" t="e" cm="1">
        <f t="array" ref="H18">StreamTemperature(CompNames,Frac,G18,$E$2,5)</f>
        <v>#VALUE!</v>
      </c>
      <c r="M18" t="s">
        <v>10</v>
      </c>
      <c r="N18" s="7" t="e">
        <f>Q2/N17</f>
        <v>#VALUE!</v>
      </c>
    </row>
    <row r="20" spans="4:21" x14ac:dyDescent="0.25">
      <c r="P20" s="3" t="s">
        <v>5</v>
      </c>
      <c r="Q20">
        <f>Q2+0.1</f>
        <v>2.1</v>
      </c>
      <c r="R20" s="1" t="s">
        <v>6</v>
      </c>
    </row>
    <row r="21" spans="4:21" x14ac:dyDescent="0.25">
      <c r="L21" s="1" t="s">
        <v>11</v>
      </c>
      <c r="M21" s="1" t="s">
        <v>2</v>
      </c>
      <c r="N21" s="1" t="s">
        <v>1</v>
      </c>
      <c r="O21" s="2" t="s">
        <v>4</v>
      </c>
      <c r="S21" s="1" t="s">
        <v>2</v>
      </c>
      <c r="T21" s="1" t="s">
        <v>1</v>
      </c>
      <c r="U21" s="1" t="s">
        <v>4</v>
      </c>
    </row>
    <row r="22" spans="4:21" x14ac:dyDescent="0.25">
      <c r="L22">
        <v>1</v>
      </c>
      <c r="M22">
        <f>M4</f>
        <v>1</v>
      </c>
      <c r="N22">
        <v>1</v>
      </c>
      <c r="O22" t="e" cm="1">
        <f t="array" ref="O22">StreamEnthalpy(CompNames,Frac,M22,N22,$F$2)</f>
        <v>#VALUE!</v>
      </c>
      <c r="S22" s="5" t="e" cm="1">
        <f t="array" ref="S22">StreamTemperature(CompNames,Frac,U22,T22,5)</f>
        <v>#VALUE!</v>
      </c>
      <c r="T22">
        <f>N22-Q23</f>
        <v>0.9</v>
      </c>
      <c r="U22" t="e">
        <f>O22+Q20*3600</f>
        <v>#VALUE!</v>
      </c>
    </row>
    <row r="23" spans="4:21" x14ac:dyDescent="0.25">
      <c r="P23" t="s">
        <v>3</v>
      </c>
      <c r="Q23">
        <v>0.1</v>
      </c>
    </row>
    <row r="25" spans="4:21" x14ac:dyDescent="0.25">
      <c r="E25" t="s">
        <v>17</v>
      </c>
    </row>
    <row r="26" spans="4:21" x14ac:dyDescent="0.25">
      <c r="E26" t="s">
        <v>18</v>
      </c>
    </row>
    <row r="27" spans="4:21" x14ac:dyDescent="0.25">
      <c r="P27" t="s">
        <v>3</v>
      </c>
      <c r="Q27">
        <v>0.1</v>
      </c>
    </row>
    <row r="28" spans="4:21" x14ac:dyDescent="0.25">
      <c r="E28" t="s">
        <v>19</v>
      </c>
      <c r="R28" s="1" t="s">
        <v>11</v>
      </c>
      <c r="S28" s="1" t="s">
        <v>2</v>
      </c>
      <c r="T28" s="1" t="s">
        <v>1</v>
      </c>
      <c r="U28" s="1" t="s">
        <v>4</v>
      </c>
    </row>
    <row r="29" spans="4:21" x14ac:dyDescent="0.25">
      <c r="L29" s="1"/>
      <c r="M29" s="1" t="s">
        <v>2</v>
      </c>
      <c r="N29" s="1" t="s">
        <v>1</v>
      </c>
      <c r="O29" s="3" t="s">
        <v>4</v>
      </c>
      <c r="R29">
        <v>5</v>
      </c>
      <c r="S29">
        <v>100</v>
      </c>
      <c r="T29">
        <v>5</v>
      </c>
      <c r="U29" t="e" cm="1">
        <f t="array" ref="U29">StreamEnthalpy(CompNames,Frac,S29,T29,$F$2)</f>
        <v>#VALUE!</v>
      </c>
    </row>
    <row r="30" spans="4:21" x14ac:dyDescent="0.25">
      <c r="M30" s="5" t="e" cm="1">
        <f t="array" ref="M30">StreamTemperature(CompNames,Frac,O30,N30,5)</f>
        <v>#VALUE!</v>
      </c>
      <c r="N30">
        <f>T29-Q27</f>
        <v>4.9000000000000004</v>
      </c>
      <c r="O30" t="e">
        <f>U29-Q20*3600</f>
        <v>#VALUE!</v>
      </c>
    </row>
    <row r="33" spans="13:28" x14ac:dyDescent="0.25">
      <c r="M33" t="s">
        <v>8</v>
      </c>
      <c r="N33" s="5" t="e">
        <f>M30-M22</f>
        <v>#VALUE!</v>
      </c>
      <c r="T33" s="1" t="s">
        <v>5</v>
      </c>
      <c r="U33" s="1" t="s">
        <v>21</v>
      </c>
      <c r="V33" s="1" t="s">
        <v>22</v>
      </c>
      <c r="W33" s="1" t="s">
        <v>8</v>
      </c>
      <c r="X33" s="1" t="s">
        <v>9</v>
      </c>
      <c r="Y33" s="1" t="s">
        <v>7</v>
      </c>
      <c r="Z33" s="1" t="s">
        <v>10</v>
      </c>
      <c r="AA33" s="1"/>
      <c r="AB33" s="1"/>
    </row>
    <row r="34" spans="13:28" x14ac:dyDescent="0.25">
      <c r="M34" t="s">
        <v>9</v>
      </c>
      <c r="N34" s="5" t="e">
        <f>S29-S22</f>
        <v>#VALUE!</v>
      </c>
      <c r="Q34" t="s">
        <v>20</v>
      </c>
      <c r="S34">
        <v>1</v>
      </c>
      <c r="T34">
        <f>S34*Y5</f>
        <v>0.2</v>
      </c>
      <c r="U34" t="e" cm="1">
        <f t="array" ref="U34">StreamTemperature(CompNames,Frac,O4+T34*3600,T4,5)</f>
        <v>#VALUE!</v>
      </c>
      <c r="V34" t="e" cm="1">
        <f t="array" ref="V34">StreamTemperature(CompNames,Frac,U11-T34*3600,N12,5)</f>
        <v>#VALUE!</v>
      </c>
      <c r="W34" s="5" t="e">
        <f>V34-M4</f>
        <v>#VALUE!</v>
      </c>
      <c r="X34" s="5" t="e">
        <f>S11-U34</f>
        <v>#VALUE!</v>
      </c>
      <c r="Y34" s="5" t="e">
        <f>(W34-X34)/LN(W34/X34)</f>
        <v>#VALUE!</v>
      </c>
      <c r="Z34" s="7" t="e">
        <f>T34/Y34</f>
        <v>#VALUE!</v>
      </c>
      <c r="AA34" s="5"/>
      <c r="AB34" s="5"/>
    </row>
    <row r="35" spans="13:28" x14ac:dyDescent="0.25">
      <c r="M35" t="s">
        <v>7</v>
      </c>
      <c r="N35" s="5" t="e">
        <f>(N33-N34)/LN(N33/N34)</f>
        <v>#VALUE!</v>
      </c>
    </row>
    <row r="36" spans="13:28" x14ac:dyDescent="0.25">
      <c r="M36" t="s">
        <v>10</v>
      </c>
      <c r="N36" s="7" t="e">
        <f>Q20/N35</f>
        <v>#VALUE!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IP21ConfigWorkBook xmlns:xsd="http://www.w3.org/2001/XMLSchema" xmlns:xsi="http://www.w3.org/2001/XMLSchema-instance" xmlns="http://www.aspentech.com/ProcessData/ExcelAddIn/IP21ConfigWorkBook">
  <WorkBookName>TestThermoCOM_HeatExchanger.xlsm</WorkBookName>
  <MappingTemplateName/>
  <ColumnMaps/>
</IP21ConfigWorkBook>
</file>

<file path=customXml/itemProps1.xml><?xml version="1.0" encoding="utf-8"?>
<ds:datastoreItem xmlns:ds="http://schemas.openxmlformats.org/officeDocument/2006/customXml" ds:itemID="{C41BDC61-B6CA-4C0E-9043-DE072FF6DEA8}">
  <ds:schemaRefs>
    <ds:schemaRef ds:uri="http://www.w3.org/2001/XMLSchema"/>
    <ds:schemaRef ds:uri="http://www.aspentech.com/ProcessData/ExcelAddIn/IP21ConfigWorkBook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CompNames</vt:lpstr>
      <vt:lpstr>Frac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Anders</dc:creator>
  <cp:lastModifiedBy>M Anders</cp:lastModifiedBy>
  <dcterms:created xsi:type="dcterms:W3CDTF">2015-06-05T18:17:20Z</dcterms:created>
  <dcterms:modified xsi:type="dcterms:W3CDTF">2022-07-11T13:35:59Z</dcterms:modified>
</cp:coreProperties>
</file>