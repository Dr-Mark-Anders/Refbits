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A\Desktop\Refbits Files\RefBitsNet6\COMThermoClass\"/>
    </mc:Choice>
  </mc:AlternateContent>
  <xr:revisionPtr revIDLastSave="0" documentId="13_ncr:1_{FB7D9422-DEA9-45E4-B79D-3AC073ED5D0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Test" sheetId="1" r:id="rId1"/>
    <sheet name="Test Pressure Response" sheetId="7" r:id="rId2"/>
    <sheet name="Enthalpy_Entropy Check" sheetId="12" r:id="rId3"/>
    <sheet name="HeatVap" sheetId="2" r:id="rId4"/>
    <sheet name="Sheet1 (2)" sheetId="3" r:id="rId5"/>
    <sheet name="Sheet2" sheetId="5" r:id="rId6"/>
    <sheet name="Enthalpy Departure" sheetId="6" r:id="rId7"/>
    <sheet name="Z0" sheetId="8" r:id="rId8"/>
    <sheet name="Z1" sheetId="9" r:id="rId9"/>
    <sheet name="LK data" sheetId="10" r:id="rId10"/>
    <sheet name="Compare" sheetId="11" r:id="rId11"/>
  </sheets>
  <functionGroups builtInGroupCount="19"/>
  <definedNames>
    <definedName name="_B">'Enthalpy_Entropy Check'!$C$20</definedName>
    <definedName name="_b1">'Enthalpy_Entropy Check'!$C$7</definedName>
    <definedName name="_b2">'Enthalpy_Entropy Check'!$C$8</definedName>
    <definedName name="_B3">'Enthalpy_Entropy Check'!$C$9</definedName>
    <definedName name="_B4">'Enthalpy_Entropy Check'!$C$10</definedName>
    <definedName name="_C">'Enthalpy_Entropy Check'!$C$21</definedName>
    <definedName name="_C1">'Enthalpy_Entropy Check'!$C$11</definedName>
    <definedName name="_c2">'Enthalpy_Entropy Check'!$C$12</definedName>
    <definedName name="_C3">'Enthalpy_Entropy Check'!$C$13</definedName>
    <definedName name="_c4">'Enthalpy_Entropy Check'!$C$14</definedName>
    <definedName name="_D">'Enthalpy_Entropy Check'!$C$22</definedName>
    <definedName name="_d1">'Enthalpy_Entropy Check'!$C$15</definedName>
    <definedName name="_d2">'Enthalpy_Entropy Check'!$C$16</definedName>
    <definedName name="_E">'Enthalpy_Entropy Check'!$C$23</definedName>
    <definedName name="b1_">'Enthalpy_Entropy Check'!$H$7</definedName>
    <definedName name="b2_">'Enthalpy_Entropy Check'!$L$7</definedName>
    <definedName name="b3_">'Enthalpy_Entropy Check'!$N$7</definedName>
    <definedName name="beta">'Enthalpy_Entropy Check'!$C$17</definedName>
    <definedName name="gamma">'Enthalpy_Entropy Check'!$C$18</definedName>
    <definedName name="P">'Sheet1 (2)'!$G$2</definedName>
    <definedName name="Pc">HeatVap!$D$12</definedName>
    <definedName name="Pr">'Enthalpy_Entropy Check'!$G$8</definedName>
    <definedName name="Press" localSheetId="1">'Test Pressure Response'!$J$1</definedName>
    <definedName name="Press">Test!$E$1</definedName>
    <definedName name="Tb">HeatVap!$D$9</definedName>
    <definedName name="Tbr">HeatVap!$D$10</definedName>
    <definedName name="Tc">HeatVap!$D$11</definedName>
    <definedName name="Temp">'Sheet1 (2)'!$G$1</definedName>
    <definedName name="Tr">'Enthalpy_Entropy Check'!$E$2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54" i="1" l="1"/>
  <c r="U34" i="1"/>
  <c r="V34" i="1"/>
  <c r="K35" i="1"/>
  <c r="K36" i="1"/>
  <c r="K37" i="1"/>
  <c r="K38" i="1"/>
  <c r="K39" i="1"/>
  <c r="K40" i="1"/>
  <c r="K34" i="1"/>
  <c r="J35" i="1"/>
  <c r="J36" i="1"/>
  <c r="J37" i="1"/>
  <c r="J38" i="1"/>
  <c r="J39" i="1"/>
  <c r="J40" i="1"/>
  <c r="J34" i="1"/>
  <c r="H35" i="1"/>
  <c r="H36" i="1"/>
  <c r="H37" i="1"/>
  <c r="H38" i="1"/>
  <c r="H39" i="1"/>
  <c r="H40" i="1"/>
  <c r="H34" i="1"/>
  <c r="AF35" i="1"/>
  <c r="B3" i="1" l="1"/>
  <c r="A36" i="1"/>
  <c r="A37" i="1" s="1"/>
  <c r="A38" i="1" s="1"/>
  <c r="A39" i="1" s="1"/>
  <c r="A40" i="1" s="1"/>
  <c r="A35" i="1"/>
  <c r="AF36" i="1"/>
  <c r="AF34" i="1"/>
  <c r="U35" i="1"/>
  <c r="X23" i="1"/>
  <c r="P23" i="1"/>
  <c r="V25" i="1"/>
  <c r="S28" i="1"/>
  <c r="W25" i="1"/>
  <c r="T28" i="1"/>
  <c r="X25" i="1"/>
  <c r="U28" i="1"/>
  <c r="P26" i="1"/>
  <c r="V28" i="1"/>
  <c r="Q26" i="1"/>
  <c r="W28" i="1"/>
  <c r="R26" i="1"/>
  <c r="X28" i="1"/>
  <c r="S26" i="1"/>
  <c r="P29" i="1"/>
  <c r="R29" i="1"/>
  <c r="Q24" i="1"/>
  <c r="V29" i="1"/>
  <c r="V24" i="1"/>
  <c r="U27" i="1"/>
  <c r="X27" i="1"/>
  <c r="T25" i="1"/>
  <c r="Q23" i="1"/>
  <c r="T26" i="1"/>
  <c r="S29" i="1"/>
  <c r="W26" i="1"/>
  <c r="S24" i="1"/>
  <c r="Q27" i="1"/>
  <c r="X29" i="1"/>
  <c r="T27" i="1"/>
  <c r="V27" i="1"/>
  <c r="S25" i="1"/>
  <c r="R23" i="1"/>
  <c r="Q29" i="1"/>
  <c r="P24" i="1"/>
  <c r="T29" i="1"/>
  <c r="X26" i="1"/>
  <c r="P27" i="1"/>
  <c r="W29" i="1"/>
  <c r="S27" i="1"/>
  <c r="P25" i="1"/>
  <c r="W27" i="1"/>
  <c r="U25" i="1"/>
  <c r="S23" i="1"/>
  <c r="V26" i="1"/>
  <c r="R24" i="1"/>
  <c r="U29" i="1"/>
  <c r="T24" i="1"/>
  <c r="R27" i="1"/>
  <c r="W24" i="1"/>
  <c r="X24" i="1"/>
  <c r="Q25" i="1"/>
  <c r="R25" i="1"/>
  <c r="P28" i="1"/>
  <c r="T23" i="1"/>
  <c r="U23" i="1"/>
  <c r="V23" i="1"/>
  <c r="W23" i="1"/>
  <c r="U26" i="1"/>
  <c r="U24" i="1"/>
  <c r="Q28" i="1"/>
  <c r="R28" i="1"/>
  <c r="O24" i="1"/>
  <c r="O28" i="1"/>
  <c r="O29" i="1"/>
  <c r="O25" i="1"/>
  <c r="O26" i="1"/>
  <c r="O27" i="1"/>
  <c r="O23" i="1"/>
  <c r="X34" i="1"/>
  <c r="U40" i="1"/>
  <c r="V40" i="1"/>
  <c r="W40" i="1"/>
  <c r="X40" i="1"/>
  <c r="X35" i="1"/>
  <c r="U36" i="1"/>
  <c r="V36" i="1"/>
  <c r="W36" i="1"/>
  <c r="X36" i="1"/>
  <c r="U37" i="1"/>
  <c r="V37" i="1"/>
  <c r="W37" i="1"/>
  <c r="X37" i="1"/>
  <c r="V39" i="1"/>
  <c r="U38" i="1"/>
  <c r="W34" i="1"/>
  <c r="V38" i="1"/>
  <c r="W39" i="1"/>
  <c r="W38" i="1"/>
  <c r="X39" i="1"/>
  <c r="V35" i="1"/>
  <c r="W35" i="1"/>
  <c r="X38" i="1"/>
  <c r="U39" i="1"/>
  <c r="O34" i="1"/>
  <c r="S38" i="1"/>
  <c r="R39" i="1"/>
  <c r="R35" i="1"/>
  <c r="R40" i="1"/>
  <c r="S40" i="1"/>
  <c r="Q36" i="1"/>
  <c r="S37" i="1"/>
  <c r="R38" i="1"/>
  <c r="P34" i="1"/>
  <c r="O39" i="1"/>
  <c r="S39" i="1"/>
  <c r="O40" i="1"/>
  <c r="Q40" i="1"/>
  <c r="O36" i="1"/>
  <c r="S36" i="1"/>
  <c r="R37" i="1"/>
  <c r="O38" i="1"/>
  <c r="Q34" i="1"/>
  <c r="P39" i="1"/>
  <c r="Q39" i="1"/>
  <c r="P40" i="1"/>
  <c r="S35" i="1"/>
  <c r="P36" i="1"/>
  <c r="R36" i="1"/>
  <c r="O37" i="1"/>
  <c r="Q37" i="1"/>
  <c r="P38" i="1"/>
  <c r="Q38" i="1"/>
  <c r="R34" i="1"/>
  <c r="S34" i="1"/>
  <c r="O35" i="1"/>
  <c r="P35" i="1"/>
  <c r="Q35" i="1"/>
  <c r="P37" i="1"/>
  <c r="T35" i="1"/>
  <c r="T36" i="1"/>
  <c r="T37" i="1"/>
  <c r="T38" i="1"/>
  <c r="T39" i="1"/>
  <c r="T40" i="1"/>
  <c r="T34" i="1"/>
  <c r="A24" i="1" l="1"/>
  <c r="A25" i="1" s="1"/>
  <c r="A26" i="1" s="1"/>
  <c r="A27" i="1" s="1"/>
  <c r="A28" i="1" s="1"/>
  <c r="A29" i="1" s="1"/>
  <c r="L25" i="8"/>
  <c r="F9" i="12"/>
  <c r="F10" i="12" s="1"/>
  <c r="F11" i="12" s="1"/>
  <c r="F12" i="12" s="1"/>
  <c r="F13" i="12" s="1"/>
  <c r="F14" i="12" s="1"/>
  <c r="E2" i="12"/>
  <c r="G22" i="12"/>
  <c r="C20" i="12"/>
  <c r="H4" i="12"/>
  <c r="I4" i="12"/>
  <c r="AK34" i="1"/>
  <c r="D9" i="1"/>
  <c r="J11" i="1"/>
  <c r="G14" i="1"/>
  <c r="D17" i="1"/>
  <c r="E12" i="1"/>
  <c r="I17" i="1"/>
  <c r="J17" i="1"/>
  <c r="K17" i="1"/>
  <c r="G15" i="1"/>
  <c r="K12" i="1"/>
  <c r="I15" i="1"/>
  <c r="F13" i="1"/>
  <c r="H13" i="1"/>
  <c r="D11" i="1"/>
  <c r="D14" i="1"/>
  <c r="E9" i="1"/>
  <c r="K11" i="1"/>
  <c r="H14" i="1"/>
  <c r="E17" i="1"/>
  <c r="K14" i="1"/>
  <c r="K9" i="1"/>
  <c r="I12" i="1"/>
  <c r="D18" i="1"/>
  <c r="E10" i="1"/>
  <c r="F18" i="1"/>
  <c r="G18" i="1"/>
  <c r="I18" i="1"/>
  <c r="E16" i="1"/>
  <c r="J13" i="1"/>
  <c r="G11" i="1"/>
  <c r="F9" i="1"/>
  <c r="I14" i="1"/>
  <c r="F17" i="1"/>
  <c r="F12" i="1"/>
  <c r="D15" i="1"/>
  <c r="H12" i="1"/>
  <c r="F15" i="1"/>
  <c r="J12" i="1"/>
  <c r="D13" i="1"/>
  <c r="I10" i="1"/>
  <c r="K10" i="1"/>
  <c r="G9" i="1"/>
  <c r="D12" i="1"/>
  <c r="J14" i="1"/>
  <c r="G17" i="1"/>
  <c r="H17" i="1"/>
  <c r="G12" i="1"/>
  <c r="E15" i="1"/>
  <c r="D10" i="1"/>
  <c r="F10" i="1"/>
  <c r="J15" i="1"/>
  <c r="H18" i="1"/>
  <c r="J10" i="1"/>
  <c r="K18" i="1"/>
  <c r="E11" i="1"/>
  <c r="H9" i="1"/>
  <c r="H10" i="1"/>
  <c r="J18" i="1"/>
  <c r="I13" i="1"/>
  <c r="F11" i="1"/>
  <c r="F14" i="1"/>
  <c r="I9" i="1"/>
  <c r="K15" i="1"/>
  <c r="G13" i="1"/>
  <c r="F16" i="1"/>
  <c r="K13" i="1"/>
  <c r="J16" i="1"/>
  <c r="J9" i="1"/>
  <c r="E13" i="1"/>
  <c r="D16" i="1"/>
  <c r="H16" i="1"/>
  <c r="I16" i="1"/>
  <c r="H11" i="1"/>
  <c r="H15" i="1"/>
  <c r="I11" i="1"/>
  <c r="E18" i="1"/>
  <c r="E14" i="1"/>
  <c r="G10" i="1"/>
  <c r="K16" i="1"/>
  <c r="G16" i="1"/>
  <c r="C10" i="1"/>
  <c r="C15" i="1"/>
  <c r="C16" i="1"/>
  <c r="C17" i="1"/>
  <c r="C18" i="1"/>
  <c r="C11" i="1"/>
  <c r="C12" i="1"/>
  <c r="C13" i="1"/>
  <c r="C14" i="1"/>
  <c r="C9" i="1"/>
  <c r="F47" i="1"/>
  <c r="C48" i="1"/>
  <c r="I34" i="1"/>
  <c r="I54" i="1"/>
  <c r="E53" i="1"/>
  <c r="C51" i="1"/>
  <c r="G50" i="1"/>
  <c r="I46" i="1"/>
  <c r="L48" i="1"/>
  <c r="L49" i="1"/>
  <c r="K47" i="1"/>
  <c r="H46" i="1"/>
  <c r="L51" i="1"/>
  <c r="H47" i="1"/>
  <c r="F48" i="1"/>
  <c r="I45" i="1"/>
  <c r="D24" i="1"/>
  <c r="D34" i="1"/>
  <c r="J54" i="1"/>
  <c r="C45" i="1"/>
  <c r="K46" i="1"/>
  <c r="L50" i="1"/>
  <c r="H50" i="1"/>
  <c r="D49" i="1"/>
  <c r="G45" i="1"/>
  <c r="H45" i="1"/>
  <c r="C54" i="1"/>
  <c r="F46" i="1"/>
  <c r="E51" i="1"/>
  <c r="K48" i="1"/>
  <c r="K50" i="1"/>
  <c r="C50" i="1"/>
  <c r="G49" i="1"/>
  <c r="J50" i="1"/>
  <c r="F49" i="1"/>
  <c r="D46" i="1"/>
  <c r="F53" i="1"/>
  <c r="E46" i="1"/>
  <c r="J52" i="1"/>
  <c r="C49" i="1"/>
  <c r="K54" i="1"/>
  <c r="D53" i="1"/>
  <c r="F34" i="1"/>
  <c r="K51" i="1"/>
  <c r="L46" i="1"/>
  <c r="H54" i="1"/>
  <c r="D50" i="1"/>
  <c r="F51" i="1"/>
  <c r="C46" i="1"/>
  <c r="K53" i="1"/>
  <c r="L45" i="1"/>
  <c r="G51" i="1"/>
  <c r="H51" i="1"/>
  <c r="E50" i="1"/>
  <c r="F54" i="1"/>
  <c r="K45" i="1"/>
  <c r="E45" i="1"/>
  <c r="D52" i="1"/>
  <c r="D51" i="1"/>
  <c r="I49" i="1"/>
  <c r="I52" i="1"/>
  <c r="K52" i="1"/>
  <c r="J45" i="1"/>
  <c r="C52" i="1"/>
  <c r="L34" i="1"/>
  <c r="J47" i="1"/>
  <c r="H49" i="1"/>
  <c r="J49" i="1"/>
  <c r="J51" i="1"/>
  <c r="F25" i="1"/>
  <c r="E52" i="1"/>
  <c r="J53" i="1"/>
  <c r="G54" i="1"/>
  <c r="G46" i="1"/>
  <c r="E47" i="1"/>
  <c r="E49" i="1"/>
  <c r="D48" i="1"/>
  <c r="C47" i="1"/>
  <c r="J46" i="1"/>
  <c r="C53" i="1"/>
  <c r="L54" i="1"/>
  <c r="G53" i="1"/>
  <c r="K49" i="1"/>
  <c r="D45" i="1"/>
  <c r="H48" i="1"/>
  <c r="F45" i="1"/>
  <c r="G47" i="1"/>
  <c r="E34" i="1"/>
  <c r="G48" i="1"/>
  <c r="J48" i="1"/>
  <c r="E54" i="1"/>
  <c r="D54" i="1"/>
  <c r="G52" i="1"/>
  <c r="H53" i="1"/>
  <c r="E48" i="1"/>
  <c r="F50" i="1"/>
  <c r="D47" i="1"/>
  <c r="L47" i="1"/>
  <c r="I47" i="1"/>
  <c r="L52" i="1"/>
  <c r="L53" i="1"/>
  <c r="I51" i="1"/>
  <c r="I48" i="1"/>
  <c r="I50" i="1"/>
  <c r="F52" i="1"/>
  <c r="H52" i="1"/>
  <c r="G34" i="1"/>
  <c r="I53" i="1"/>
  <c r="I39" i="1"/>
  <c r="G40" i="1"/>
  <c r="E40" i="1"/>
  <c r="F39" i="1"/>
  <c r="I40" i="1"/>
  <c r="L39" i="1"/>
  <c r="D40" i="1"/>
  <c r="F40" i="1"/>
  <c r="D39" i="1"/>
  <c r="E39" i="1"/>
  <c r="L40" i="1"/>
  <c r="G39" i="1"/>
  <c r="AI45" i="1"/>
  <c r="AC15" i="1"/>
  <c r="AE9" i="1"/>
  <c r="AI17" i="1"/>
  <c r="V11" i="1"/>
  <c r="Q17" i="1"/>
  <c r="W10" i="1"/>
  <c r="W9" i="1"/>
  <c r="O16" i="1"/>
  <c r="O17" i="1"/>
  <c r="AA17" i="1"/>
  <c r="X13" i="1"/>
  <c r="O13" i="1"/>
  <c r="AH10" i="1"/>
  <c r="S16" i="1"/>
  <c r="T14" i="1"/>
  <c r="AB9" i="1"/>
  <c r="AC18" i="1"/>
  <c r="AE12" i="1"/>
  <c r="AE10" i="1"/>
  <c r="S14" i="1"/>
  <c r="X11" i="1"/>
  <c r="W16" i="1"/>
  <c r="V10" i="1"/>
  <c r="V13" i="1"/>
  <c r="S15" i="1"/>
  <c r="AA14" i="1"/>
  <c r="V15" i="1"/>
  <c r="O18" i="1"/>
  <c r="AB10" i="1"/>
  <c r="AF13" i="1"/>
  <c r="AC9" i="1"/>
  <c r="AB12" i="1"/>
  <c r="AD12" i="1"/>
  <c r="AI9" i="1"/>
  <c r="AE11" i="1"/>
  <c r="P17" i="1"/>
  <c r="R17" i="1"/>
  <c r="S9" i="1"/>
  <c r="P11" i="1"/>
  <c r="AA15" i="1"/>
  <c r="W15" i="1"/>
  <c r="V18" i="1"/>
  <c r="AG16" i="1"/>
  <c r="AB15" i="1"/>
  <c r="AE15" i="1"/>
  <c r="AI18" i="1"/>
  <c r="AF16" i="1"/>
  <c r="U14" i="1"/>
  <c r="S17" i="1"/>
  <c r="W12" i="1"/>
  <c r="S11" i="1"/>
  <c r="R15" i="1"/>
  <c r="AD14" i="1"/>
  <c r="U9" i="1"/>
  <c r="U10" i="1"/>
  <c r="AI10" i="1"/>
  <c r="AE14" i="1"/>
  <c r="AC17" i="1"/>
  <c r="AB18" i="1"/>
  <c r="AF15" i="1"/>
  <c r="AC10" i="1"/>
  <c r="AD17" i="1"/>
  <c r="P12" i="1"/>
  <c r="W14" i="1"/>
  <c r="R18" i="1"/>
  <c r="U12" i="1"/>
  <c r="U17" i="1"/>
  <c r="AA13" i="1"/>
  <c r="AH14" i="1"/>
  <c r="AH18" i="1"/>
  <c r="O12" i="1"/>
  <c r="W13" i="1"/>
  <c r="T11" i="1"/>
  <c r="U15" i="1"/>
  <c r="AD15" i="1"/>
  <c r="AG12" i="1"/>
  <c r="AD13" i="1"/>
  <c r="AG11" i="1"/>
  <c r="V14" i="1"/>
  <c r="R12" i="1"/>
  <c r="S10" i="1"/>
  <c r="S13" i="1"/>
  <c r="P16" i="1"/>
  <c r="O14" i="1"/>
  <c r="V16" i="1"/>
  <c r="AD9" i="1"/>
  <c r="AB17" i="1"/>
  <c r="Q13" i="1"/>
  <c r="AB34" i="1"/>
  <c r="AD18" i="1"/>
  <c r="AH12" i="1"/>
  <c r="AF10" i="1"/>
  <c r="AI11" i="1"/>
  <c r="Q12" i="1"/>
  <c r="AG13" i="1"/>
  <c r="AA16" i="1"/>
  <c r="O15" i="1"/>
  <c r="AH9" i="1"/>
  <c r="AE18" i="1"/>
  <c r="AI12" i="1"/>
  <c r="AH13" i="1"/>
  <c r="AB14" i="1"/>
  <c r="T17" i="1"/>
  <c r="P15" i="1"/>
  <c r="X18" i="1"/>
  <c r="U16" i="1"/>
  <c r="T16" i="1"/>
  <c r="R10" i="1"/>
  <c r="P18" i="1"/>
  <c r="O11" i="1"/>
  <c r="U13" i="1"/>
  <c r="AD10" i="1"/>
  <c r="AE17" i="1"/>
  <c r="AF11" i="1"/>
  <c r="AF12" i="1"/>
  <c r="AB16" i="1"/>
  <c r="AI13" i="1"/>
  <c r="AG17" i="1"/>
  <c r="X14" i="1"/>
  <c r="T12" i="1"/>
  <c r="Q11" i="1"/>
  <c r="X16" i="1"/>
  <c r="AB11" i="1"/>
  <c r="AF17" i="1"/>
  <c r="X12" i="1"/>
  <c r="AG9" i="1"/>
  <c r="AA9" i="1"/>
  <c r="R9" i="1"/>
  <c r="T15" i="1"/>
  <c r="W11" i="1"/>
  <c r="R13" i="1"/>
  <c r="AF18" i="1"/>
  <c r="AC13" i="1"/>
  <c r="AC14" i="1"/>
  <c r="AA10" i="1"/>
  <c r="S12" i="1"/>
  <c r="Q15" i="1"/>
  <c r="R14" i="1"/>
  <c r="Q14" i="1"/>
  <c r="AD11" i="1"/>
  <c r="AE13" i="1"/>
  <c r="X15" i="1"/>
  <c r="AI16" i="1"/>
  <c r="V9" i="1"/>
  <c r="P13" i="1"/>
  <c r="P14" i="1"/>
  <c r="AG15" i="1"/>
  <c r="AD16" i="1"/>
  <c r="AF14" i="1"/>
  <c r="AA18" i="1"/>
  <c r="V17" i="1"/>
  <c r="X9" i="1"/>
  <c r="T9" i="1"/>
  <c r="T13" i="1"/>
  <c r="X10" i="1"/>
  <c r="X17" i="1"/>
  <c r="V12" i="1"/>
  <c r="AI14" i="1"/>
  <c r="R16" i="1"/>
  <c r="Q16" i="1"/>
  <c r="R11" i="1"/>
  <c r="AG14" i="1"/>
  <c r="AG18" i="1"/>
  <c r="AE16" i="1"/>
  <c r="AH17" i="1"/>
  <c r="AA11" i="1"/>
  <c r="W17" i="1"/>
  <c r="P10" i="1"/>
  <c r="T10" i="1"/>
  <c r="U11" i="1"/>
  <c r="AH16" i="1"/>
  <c r="AF9" i="1"/>
  <c r="AA12" i="1"/>
  <c r="O10" i="1"/>
  <c r="Q10" i="1"/>
  <c r="AA34" i="1"/>
  <c r="AG10" i="1"/>
  <c r="AC11" i="1"/>
  <c r="O9" i="1"/>
  <c r="P9" i="1"/>
  <c r="AH15" i="1"/>
  <c r="Q9" i="1"/>
  <c r="AC12" i="1"/>
  <c r="AI15" i="1"/>
  <c r="AB13" i="1"/>
  <c r="AC16" i="1"/>
  <c r="W18" i="1"/>
  <c r="U18" i="1"/>
  <c r="T18" i="1"/>
  <c r="S18" i="1"/>
  <c r="Q18" i="1"/>
  <c r="AH11" i="1"/>
  <c r="AC45" i="1"/>
  <c r="AB45" i="1"/>
  <c r="L16" i="1"/>
  <c r="L9" i="1"/>
  <c r="L12" i="1"/>
  <c r="L13" i="1"/>
  <c r="L10" i="1"/>
  <c r="L14" i="1"/>
  <c r="L15" i="1"/>
  <c r="L11" i="1"/>
  <c r="L18" i="1"/>
  <c r="L17" i="1"/>
  <c r="F15" i="12" l="1"/>
  <c r="G14" i="12"/>
  <c r="G8" i="12"/>
  <c r="C22" i="12"/>
  <c r="C21" i="12"/>
  <c r="I8" i="12"/>
  <c r="H14" i="12"/>
  <c r="H8" i="12"/>
  <c r="I14" i="12"/>
  <c r="J14" i="12" l="1"/>
  <c r="K14" i="12"/>
  <c r="F16" i="12"/>
  <c r="G15" i="12"/>
  <c r="K8" i="12"/>
  <c r="A9" i="7"/>
  <c r="J4" i="7"/>
  <c r="H15" i="12"/>
  <c r="I15" i="12"/>
  <c r="K15" i="12" l="1"/>
  <c r="J15" i="12"/>
  <c r="F17" i="12"/>
  <c r="G16" i="12"/>
  <c r="C3" i="9"/>
  <c r="C3" i="8"/>
  <c r="F18" i="12" l="1"/>
  <c r="G18" i="12" s="1"/>
  <c r="G17" i="12"/>
  <c r="C3" i="6"/>
  <c r="B9" i="6"/>
  <c r="B10" i="6" s="1"/>
  <c r="B11" i="6" s="1"/>
  <c r="B12" i="6" s="1"/>
  <c r="B13" i="6" s="1"/>
  <c r="B14" i="6" s="1"/>
  <c r="B15" i="6" s="1"/>
  <c r="B16" i="6" s="1"/>
  <c r="B17" i="6" s="1"/>
  <c r="B18" i="6" s="1"/>
  <c r="D7" i="6"/>
  <c r="E7" i="6" s="1"/>
  <c r="F7" i="6" s="1"/>
  <c r="G7" i="6" s="1"/>
  <c r="H7" i="6" s="1"/>
  <c r="I7" i="6" s="1"/>
  <c r="J7" i="6" s="1"/>
  <c r="K7" i="6" s="1"/>
  <c r="L7" i="6" s="1"/>
  <c r="M7" i="6" s="1"/>
  <c r="N7" i="6" s="1"/>
  <c r="L8" i="12" l="1"/>
  <c r="J8" i="12"/>
  <c r="AB2" i="12"/>
  <c r="AB3" i="12"/>
  <c r="B10" i="7"/>
  <c r="H22" i="12" l="1"/>
  <c r="N8" i="12" s="1"/>
  <c r="AB1" i="12"/>
  <c r="AB4" i="12" s="1"/>
  <c r="M8" i="12"/>
  <c r="I22" i="12" s="1"/>
  <c r="A10" i="7"/>
  <c r="B11" i="7"/>
  <c r="B2" i="5"/>
  <c r="E6" i="1"/>
  <c r="Q6" i="1"/>
  <c r="H77" i="5"/>
  <c r="H76" i="5"/>
  <c r="H75" i="5"/>
  <c r="H74" i="5"/>
  <c r="H73" i="5"/>
  <c r="H72" i="5"/>
  <c r="H71" i="5"/>
  <c r="H70" i="5"/>
  <c r="H69" i="5"/>
  <c r="H68" i="5"/>
  <c r="H67" i="5"/>
  <c r="H66" i="5"/>
  <c r="H65" i="5"/>
  <c r="H64" i="5"/>
  <c r="H63" i="5"/>
  <c r="H62" i="5"/>
  <c r="H61" i="5"/>
  <c r="H60" i="5"/>
  <c r="H59" i="5"/>
  <c r="H58" i="5"/>
  <c r="H57" i="5"/>
  <c r="H56" i="5"/>
  <c r="H55" i="5"/>
  <c r="H54" i="5"/>
  <c r="H53" i="5"/>
  <c r="H52" i="5"/>
  <c r="H51" i="5"/>
  <c r="H50" i="5"/>
  <c r="H49" i="5"/>
  <c r="H48" i="5"/>
  <c r="H47" i="5"/>
  <c r="H46" i="5"/>
  <c r="H45" i="5"/>
  <c r="H44" i="5"/>
  <c r="H43" i="5"/>
  <c r="H42" i="5"/>
  <c r="H41" i="5"/>
  <c r="H40" i="5"/>
  <c r="H39" i="5"/>
  <c r="H38" i="5"/>
  <c r="H37" i="5"/>
  <c r="H36" i="5"/>
  <c r="H35" i="5"/>
  <c r="H34" i="5"/>
  <c r="H33" i="5"/>
  <c r="H32" i="5"/>
  <c r="H31" i="5"/>
  <c r="H30" i="5"/>
  <c r="H29" i="5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Q8" i="12" l="1"/>
  <c r="O8" i="12"/>
  <c r="P8" i="12" s="1"/>
  <c r="T8" i="12" s="1"/>
  <c r="G23" i="12"/>
  <c r="G9" i="12"/>
  <c r="R8" i="12"/>
  <c r="A11" i="7"/>
  <c r="B12" i="7"/>
  <c r="AA52" i="1"/>
  <c r="AA54" i="1"/>
  <c r="AA45" i="1"/>
  <c r="N54" i="1"/>
  <c r="N18" i="1"/>
  <c r="S8" i="12" l="1"/>
  <c r="U8" i="12" s="1"/>
  <c r="G24" i="12"/>
  <c r="G10" i="12"/>
  <c r="A12" i="7"/>
  <c r="B13" i="7"/>
  <c r="AA65" i="1"/>
  <c r="N52" i="1"/>
  <c r="G25" i="12" l="1"/>
  <c r="G11" i="12"/>
  <c r="A13" i="7"/>
  <c r="B14" i="7"/>
  <c r="N24" i="1"/>
  <c r="G26" i="12" l="1"/>
  <c r="G12" i="12"/>
  <c r="A14" i="7"/>
  <c r="B15" i="7"/>
  <c r="N45" i="1"/>
  <c r="G27" i="12" l="1"/>
  <c r="G13" i="12"/>
  <c r="A15" i="7"/>
  <c r="B16" i="7"/>
  <c r="AA58" i="1"/>
  <c r="N9" i="1"/>
  <c r="AA12" i="9"/>
  <c r="N9" i="9"/>
  <c r="H11" i="8"/>
  <c r="X37" i="8"/>
  <c r="U42" i="8"/>
  <c r="W44" i="9"/>
  <c r="Q10" i="8"/>
  <c r="Y37" i="9"/>
  <c r="D42" i="9"/>
  <c r="O27" i="8"/>
  <c r="C41" i="8"/>
  <c r="X8" i="8"/>
  <c r="Y35" i="9"/>
  <c r="V35" i="8"/>
  <c r="L12" i="6"/>
  <c r="I9" i="6"/>
  <c r="D13" i="7"/>
  <c r="Y26" i="9"/>
  <c r="AD31" i="9"/>
  <c r="AG18" i="8"/>
  <c r="N44" i="8"/>
  <c r="U10" i="9"/>
  <c r="AE36" i="9"/>
  <c r="AE15" i="8"/>
  <c r="M34" i="8"/>
  <c r="AA11" i="8"/>
  <c r="X11" i="8"/>
  <c r="AG43" i="9"/>
  <c r="AF9" i="8"/>
  <c r="F16" i="6"/>
  <c r="X24" i="9"/>
  <c r="G41" i="9"/>
  <c r="AC44" i="9"/>
  <c r="C15" i="6"/>
  <c r="U23" i="9"/>
  <c r="C33" i="9"/>
  <c r="I35" i="9"/>
  <c r="AG38" i="8"/>
  <c r="I19" i="9"/>
  <c r="F13" i="9"/>
  <c r="F17" i="6"/>
  <c r="C10" i="6"/>
  <c r="C20" i="9"/>
  <c r="C24" i="9"/>
  <c r="G19" i="8"/>
  <c r="K12" i="8"/>
  <c r="AD28" i="9"/>
  <c r="M21" i="9"/>
  <c r="E47" i="8"/>
  <c r="C12" i="7"/>
  <c r="V33" i="9"/>
  <c r="AF15" i="9"/>
  <c r="G11" i="9"/>
  <c r="P26" i="8"/>
  <c r="N11" i="8"/>
  <c r="O31" i="9"/>
  <c r="H33" i="9"/>
  <c r="Y36" i="8"/>
  <c r="H13" i="9"/>
  <c r="T11" i="8"/>
  <c r="AG45" i="8"/>
  <c r="L47" i="8"/>
  <c r="I16" i="6"/>
  <c r="N8" i="6"/>
  <c r="M36" i="9"/>
  <c r="V14" i="8"/>
  <c r="N12" i="9"/>
  <c r="K18" i="6"/>
  <c r="X46" i="9"/>
  <c r="T14" i="9"/>
  <c r="V24" i="8"/>
  <c r="K42" i="9"/>
  <c r="Y31" i="9"/>
  <c r="N16" i="9"/>
  <c r="N32" i="8"/>
  <c r="C12" i="8"/>
  <c r="X35" i="9"/>
  <c r="D39" i="9"/>
  <c r="I18" i="8"/>
  <c r="X33" i="8"/>
  <c r="U33" i="9"/>
  <c r="I26" i="9"/>
  <c r="X14" i="9"/>
  <c r="H12" i="8"/>
  <c r="AD18" i="9"/>
  <c r="AA16" i="8"/>
  <c r="E25" i="9"/>
  <c r="M43" i="8"/>
  <c r="AA15" i="9"/>
  <c r="D38" i="9"/>
  <c r="O15" i="8"/>
  <c r="L15" i="8"/>
  <c r="C28" i="8"/>
  <c r="C29" i="8"/>
  <c r="P46" i="9"/>
  <c r="AH27" i="8"/>
  <c r="AH23" i="9"/>
  <c r="M12" i="6"/>
  <c r="F31" i="8"/>
  <c r="K39" i="8"/>
  <c r="AF26" i="9"/>
  <c r="L40" i="9"/>
  <c r="T18" i="8"/>
  <c r="Z46" i="8"/>
  <c r="I11" i="8"/>
  <c r="Z44" i="9"/>
  <c r="J28" i="9"/>
  <c r="M37" i="9"/>
  <c r="Z47" i="8"/>
  <c r="AA17" i="9"/>
  <c r="N33" i="9"/>
  <c r="V13" i="9"/>
  <c r="I14" i="8"/>
  <c r="C36" i="8"/>
  <c r="T12" i="9"/>
  <c r="AF22" i="9"/>
  <c r="P40" i="9"/>
  <c r="C14" i="8"/>
  <c r="I8" i="6"/>
  <c r="H46" i="9"/>
  <c r="Z15" i="8"/>
  <c r="C12" i="6"/>
  <c r="H16" i="8"/>
  <c r="E18" i="9"/>
  <c r="D10" i="9"/>
  <c r="I17" i="12"/>
  <c r="U34" i="8"/>
  <c r="T46" i="9"/>
  <c r="E39" i="9"/>
  <c r="H35" i="9"/>
  <c r="F20" i="9"/>
  <c r="D25" i="8"/>
  <c r="Z47" i="9"/>
  <c r="J40" i="9"/>
  <c r="H37" i="9"/>
  <c r="H28" i="8"/>
  <c r="U19" i="9"/>
  <c r="G19" i="9"/>
  <c r="AA33" i="9"/>
  <c r="N28" i="9"/>
  <c r="L34" i="9"/>
  <c r="AG35" i="9"/>
  <c r="Q45" i="8"/>
  <c r="O33" i="9"/>
  <c r="Y20" i="9"/>
  <c r="AH34" i="8"/>
  <c r="AF43" i="9"/>
  <c r="J26" i="8"/>
  <c r="C17" i="9"/>
  <c r="W36" i="9"/>
  <c r="U36" i="8"/>
  <c r="K42" i="8"/>
  <c r="X43" i="9"/>
  <c r="AD45" i="9"/>
  <c r="H17" i="6"/>
  <c r="G21" i="9"/>
  <c r="AH20" i="9"/>
  <c r="AC40" i="8"/>
  <c r="AG42" i="9"/>
  <c r="H34" i="8"/>
  <c r="X10" i="8"/>
  <c r="L38" i="8"/>
  <c r="Z37" i="9"/>
  <c r="Z39" i="8"/>
  <c r="G15" i="6"/>
  <c r="Q33" i="8"/>
  <c r="AD38" i="9"/>
  <c r="D41" i="9"/>
  <c r="Y19" i="8"/>
  <c r="J8" i="8"/>
  <c r="E39" i="8"/>
  <c r="L13" i="8"/>
  <c r="P25" i="9"/>
  <c r="AF44" i="8"/>
  <c r="D11" i="8"/>
  <c r="L16" i="6"/>
  <c r="V15" i="9"/>
  <c r="L9" i="9"/>
  <c r="AG42" i="8"/>
  <c r="I29" i="8"/>
  <c r="W23" i="8"/>
  <c r="L10" i="9"/>
  <c r="I26" i="8"/>
  <c r="X19" i="9"/>
  <c r="C42" i="9"/>
  <c r="V38" i="8"/>
  <c r="E46" i="8"/>
  <c r="Y42" i="9"/>
  <c r="M45" i="9"/>
  <c r="AF22" i="8"/>
  <c r="G29" i="9"/>
  <c r="O15" i="9"/>
  <c r="AF36" i="9"/>
  <c r="AA37" i="8"/>
  <c r="AA35" i="9"/>
  <c r="H44" i="9"/>
  <c r="J22" i="8"/>
  <c r="P28" i="8"/>
  <c r="N13" i="8"/>
  <c r="I37" i="8"/>
  <c r="K46" i="8"/>
  <c r="N25" i="9"/>
  <c r="AH22" i="9"/>
  <c r="AE15" i="9"/>
  <c r="N42" i="8"/>
  <c r="I36" i="8"/>
  <c r="V17" i="8"/>
  <c r="AB22" i="8"/>
  <c r="C13" i="6"/>
  <c r="AE29" i="8"/>
  <c r="J22" i="9"/>
  <c r="X35" i="8"/>
  <c r="O47" i="8"/>
  <c r="C28" i="9"/>
  <c r="F16" i="8"/>
  <c r="K43" i="8"/>
  <c r="Z16" i="9"/>
  <c r="F24" i="9"/>
  <c r="K38" i="9"/>
  <c r="G10" i="6"/>
  <c r="AF46" i="9"/>
  <c r="I16" i="9"/>
  <c r="AE28" i="8"/>
  <c r="N30" i="8"/>
  <c r="C13" i="8"/>
  <c r="N39" i="8"/>
  <c r="U41" i="9"/>
  <c r="AE19" i="8"/>
  <c r="M14" i="6"/>
  <c r="Y47" i="8"/>
  <c r="C26" i="8"/>
  <c r="U36" i="9"/>
  <c r="AE23" i="9"/>
  <c r="O29" i="8"/>
  <c r="K16" i="6"/>
  <c r="P35" i="9"/>
  <c r="AG32" i="8"/>
  <c r="M40" i="8"/>
  <c r="E17" i="6"/>
  <c r="X41" i="8"/>
  <c r="T22" i="9"/>
  <c r="AC23" i="9"/>
  <c r="H29" i="8"/>
  <c r="P46" i="8"/>
  <c r="U35" i="9"/>
  <c r="I39" i="9"/>
  <c r="K15" i="8"/>
  <c r="AC30" i="9"/>
  <c r="AC36" i="9"/>
  <c r="X13" i="8"/>
  <c r="Z21" i="8"/>
  <c r="Y43" i="9"/>
  <c r="AB25" i="8"/>
  <c r="W16" i="8"/>
  <c r="N38" i="8"/>
  <c r="J13" i="6"/>
  <c r="U21" i="9"/>
  <c r="T8" i="8"/>
  <c r="J42" i="8"/>
  <c r="O46" i="8"/>
  <c r="M39" i="8"/>
  <c r="D22" i="9"/>
  <c r="AC10" i="8"/>
  <c r="H18" i="12"/>
  <c r="J9" i="6"/>
  <c r="O18" i="8"/>
  <c r="W8" i="8"/>
  <c r="T43" i="9"/>
  <c r="T22" i="8"/>
  <c r="O19" i="8"/>
  <c r="AA29" i="9"/>
  <c r="E28" i="9"/>
  <c r="D31" i="9"/>
  <c r="T24" i="9"/>
  <c r="Q35" i="8"/>
  <c r="AH26" i="9"/>
  <c r="C45" i="9"/>
  <c r="Q19" i="9"/>
  <c r="H38" i="8"/>
  <c r="AE12" i="9"/>
  <c r="W11" i="8"/>
  <c r="G16" i="9"/>
  <c r="AF39" i="8"/>
  <c r="T45" i="8"/>
  <c r="G30" i="9"/>
  <c r="AB23" i="8"/>
  <c r="N23" i="8"/>
  <c r="D41" i="8"/>
  <c r="T15" i="9"/>
  <c r="U26" i="9"/>
  <c r="AE11" i="8"/>
  <c r="M40" i="9"/>
  <c r="AA11" i="9"/>
  <c r="W28" i="8"/>
  <c r="E29" i="9"/>
  <c r="T46" i="8"/>
  <c r="J40" i="8"/>
  <c r="T35" i="9"/>
  <c r="V19" i="9"/>
  <c r="M43" i="9"/>
  <c r="G12" i="6"/>
  <c r="AH19" i="8"/>
  <c r="V20" i="8"/>
  <c r="K13" i="9"/>
  <c r="K20" i="8"/>
  <c r="J45" i="8"/>
  <c r="J27" i="9"/>
  <c r="L37" i="9"/>
  <c r="AE9" i="8"/>
  <c r="C9" i="6"/>
  <c r="G27" i="8"/>
  <c r="Q19" i="8"/>
  <c r="T35" i="8"/>
  <c r="AA39" i="9"/>
  <c r="Q41" i="9"/>
  <c r="AD27" i="8"/>
  <c r="AG11" i="9"/>
  <c r="N25" i="8"/>
  <c r="M20" i="9"/>
  <c r="H12" i="12"/>
  <c r="G31" i="9"/>
  <c r="T23" i="8"/>
  <c r="Z11" i="9"/>
  <c r="E10" i="8"/>
  <c r="N36" i="8"/>
  <c r="Z25" i="9"/>
  <c r="H31" i="8"/>
  <c r="I12" i="9"/>
  <c r="M16" i="8"/>
  <c r="E35" i="9"/>
  <c r="K17" i="9"/>
  <c r="C34" i="8"/>
  <c r="J34" i="9"/>
  <c r="AD26" i="9"/>
  <c r="V40" i="8"/>
  <c r="I14" i="9"/>
  <c r="O20" i="9"/>
  <c r="L17" i="8"/>
  <c r="AC41" i="9"/>
  <c r="AD19" i="8"/>
  <c r="C40" i="8"/>
  <c r="P36" i="9"/>
  <c r="AG34" i="9"/>
  <c r="AH45" i="8"/>
  <c r="U20" i="8"/>
  <c r="K13" i="8"/>
  <c r="I22" i="8"/>
  <c r="K9" i="9"/>
  <c r="O29" i="9"/>
  <c r="P35" i="8"/>
  <c r="Z29" i="9"/>
  <c r="U46" i="8"/>
  <c r="V9" i="8"/>
  <c r="I14" i="6"/>
  <c r="M15" i="8"/>
  <c r="Y22" i="9"/>
  <c r="Q8" i="9"/>
  <c r="C15" i="8"/>
  <c r="K9" i="8"/>
  <c r="U25" i="9"/>
  <c r="U20" i="9"/>
  <c r="Y27" i="8"/>
  <c r="L14" i="6"/>
  <c r="N42" i="9"/>
  <c r="G13" i="9"/>
  <c r="C14" i="9"/>
  <c r="W10" i="8"/>
  <c r="I17" i="8"/>
  <c r="T18" i="9"/>
  <c r="AB33" i="8"/>
  <c r="Z18" i="8"/>
  <c r="AE34" i="8"/>
  <c r="M13" i="8"/>
  <c r="K26" i="8"/>
  <c r="J9" i="9"/>
  <c r="V27" i="9"/>
  <c r="D9" i="8"/>
  <c r="F10" i="6"/>
  <c r="AA42" i="9"/>
  <c r="AC28" i="8"/>
  <c r="AD34" i="8"/>
  <c r="D18" i="8"/>
  <c r="K20" i="9"/>
  <c r="W45" i="9"/>
  <c r="AF8" i="8"/>
  <c r="K11" i="6"/>
  <c r="P27" i="9"/>
  <c r="AF9" i="9"/>
  <c r="AD32" i="8"/>
  <c r="F26" i="8"/>
  <c r="AA26" i="9"/>
  <c r="F35" i="9"/>
  <c r="AD39" i="8"/>
  <c r="D11" i="6"/>
  <c r="C23" i="8"/>
  <c r="I21" i="9"/>
  <c r="AG40" i="8"/>
  <c r="G36" i="8"/>
  <c r="O31" i="8"/>
  <c r="X28" i="9"/>
  <c r="F42" i="9"/>
  <c r="F38" i="8"/>
  <c r="W43" i="8"/>
  <c r="Q27" i="8"/>
  <c r="AB12" i="8"/>
  <c r="AA39" i="8"/>
  <c r="M11" i="9"/>
  <c r="H20" i="8"/>
  <c r="O24" i="9"/>
  <c r="E37" i="9"/>
  <c r="AH9" i="8"/>
  <c r="C18" i="6"/>
  <c r="U39" i="9"/>
  <c r="K21" i="9"/>
  <c r="Y24" i="8"/>
  <c r="L8" i="8"/>
  <c r="C16" i="8"/>
  <c r="AA37" i="9"/>
  <c r="AD26" i="8"/>
  <c r="J24" i="8"/>
  <c r="D12" i="6"/>
  <c r="J11" i="6"/>
  <c r="L44" i="9"/>
  <c r="M35" i="8"/>
  <c r="AD22" i="8"/>
  <c r="M8" i="9"/>
  <c r="I20" i="9"/>
  <c r="O10" i="9"/>
  <c r="X36" i="9"/>
  <c r="O25" i="8"/>
  <c r="AC15" i="9"/>
  <c r="AC12" i="9"/>
  <c r="K44" i="8"/>
  <c r="L46" i="9"/>
  <c r="G43" i="9"/>
  <c r="G43" i="8"/>
  <c r="O42" i="9"/>
  <c r="K41" i="8"/>
  <c r="D21" i="9"/>
  <c r="I17" i="9"/>
  <c r="K31" i="9"/>
  <c r="AG8" i="8"/>
  <c r="Y9" i="8"/>
  <c r="J16" i="6"/>
  <c r="N38" i="9"/>
  <c r="Z28" i="9"/>
  <c r="AF12" i="8"/>
  <c r="K12" i="6"/>
  <c r="I11" i="12"/>
  <c r="H42" i="9"/>
  <c r="AD20" i="8"/>
  <c r="AB19" i="8"/>
  <c r="Q38" i="8"/>
  <c r="W31" i="9"/>
  <c r="Q25" i="9"/>
  <c r="N16" i="6"/>
  <c r="K17" i="6"/>
  <c r="AD40" i="9"/>
  <c r="AF42" i="8"/>
  <c r="G46" i="8"/>
  <c r="AD33" i="9"/>
  <c r="Y16" i="8"/>
  <c r="AB9" i="8"/>
  <c r="D32" i="8"/>
  <c r="AG25" i="9"/>
  <c r="C22" i="9"/>
  <c r="D9" i="6"/>
  <c r="M14" i="8"/>
  <c r="E19" i="9"/>
  <c r="D45" i="9"/>
  <c r="M44" i="9"/>
  <c r="H9" i="12"/>
  <c r="V22" i="9"/>
  <c r="AD15" i="9"/>
  <c r="G27" i="9"/>
  <c r="K28" i="8"/>
  <c r="C33" i="8"/>
  <c r="AG20" i="9"/>
  <c r="H19" i="9"/>
  <c r="D8" i="9"/>
  <c r="Q40" i="8"/>
  <c r="O9" i="8"/>
  <c r="AF47" i="9"/>
  <c r="AH47" i="8"/>
  <c r="P42" i="8"/>
  <c r="T43" i="8"/>
  <c r="C15" i="9"/>
  <c r="Z16" i="8"/>
  <c r="U27" i="9"/>
  <c r="K27" i="8"/>
  <c r="U15" i="8"/>
  <c r="T31" i="9"/>
  <c r="AE16" i="9"/>
  <c r="AF26" i="8"/>
  <c r="E13" i="8"/>
  <c r="C37" i="8"/>
  <c r="Y14" i="9"/>
  <c r="C37" i="9"/>
  <c r="X36" i="8"/>
  <c r="AF45" i="8"/>
  <c r="AG34" i="8"/>
  <c r="P20" i="9"/>
  <c r="G20" i="9"/>
  <c r="AC15" i="8"/>
  <c r="AE36" i="8"/>
  <c r="AA38" i="9"/>
  <c r="V28" i="9"/>
  <c r="Y25" i="8"/>
  <c r="L45" i="8"/>
  <c r="G17" i="8"/>
  <c r="AH32" i="9"/>
  <c r="C44" i="9"/>
  <c r="P10" i="8"/>
  <c r="D39" i="8"/>
  <c r="Y32" i="9"/>
  <c r="Z32" i="8"/>
  <c r="Z34" i="8"/>
  <c r="N21" i="8"/>
  <c r="AA16" i="9"/>
  <c r="E33" i="9"/>
  <c r="X29" i="9"/>
  <c r="AC47" i="9"/>
  <c r="C13" i="9"/>
  <c r="V13" i="8"/>
  <c r="W13" i="9"/>
  <c r="O43" i="8"/>
  <c r="X21" i="8"/>
  <c r="C14" i="7"/>
  <c r="Y44" i="9"/>
  <c r="M12" i="9"/>
  <c r="AE45" i="8"/>
  <c r="N26" i="8"/>
  <c r="J47" i="9"/>
  <c r="T39" i="9"/>
  <c r="W20" i="8"/>
  <c r="AG26" i="8"/>
  <c r="O45" i="8"/>
  <c r="J8" i="9"/>
  <c r="AG31" i="9"/>
  <c r="N45" i="9"/>
  <c r="G11" i="6"/>
  <c r="N14" i="6"/>
  <c r="AB11" i="9"/>
  <c r="AE27" i="8"/>
  <c r="F13" i="6"/>
  <c r="L17" i="9"/>
  <c r="K19" i="8"/>
  <c r="AF25" i="9"/>
  <c r="AB41" i="8"/>
  <c r="F47" i="8"/>
  <c r="M10" i="8"/>
  <c r="J15" i="9"/>
  <c r="F36" i="9"/>
  <c r="AD31" i="8"/>
  <c r="K18" i="8"/>
  <c r="D47" i="8"/>
  <c r="T27" i="9"/>
  <c r="V25" i="9"/>
  <c r="D34" i="8"/>
  <c r="V10" i="9"/>
  <c r="X15" i="9"/>
  <c r="X47" i="8"/>
  <c r="G13" i="6"/>
  <c r="C9" i="9"/>
  <c r="AH16" i="9"/>
  <c r="AF32" i="8"/>
  <c r="Z36" i="9"/>
  <c r="E40" i="9"/>
  <c r="N8" i="8"/>
  <c r="O16" i="8"/>
  <c r="W8" i="9"/>
  <c r="J31" i="9"/>
  <c r="D36" i="9"/>
  <c r="Q16" i="8"/>
  <c r="F23" i="8"/>
  <c r="D44" i="9"/>
  <c r="P42" i="9"/>
  <c r="W46" i="8"/>
  <c r="O44" i="8"/>
  <c r="N47" i="8"/>
  <c r="O45" i="9"/>
  <c r="AA10" i="8"/>
  <c r="AE42" i="8"/>
  <c r="O14" i="8"/>
  <c r="J19" i="8"/>
  <c r="AA18" i="9"/>
  <c r="F45" i="9"/>
  <c r="C47" i="9"/>
  <c r="K36" i="8"/>
  <c r="L34" i="8"/>
  <c r="AH31" i="9"/>
  <c r="F27" i="9"/>
  <c r="O22" i="9"/>
  <c r="K25" i="9"/>
  <c r="C8" i="6"/>
  <c r="U34" i="9"/>
  <c r="AD29" i="8"/>
  <c r="T31" i="8"/>
  <c r="Z41" i="8"/>
  <c r="AC38" i="9"/>
  <c r="Y40" i="8"/>
  <c r="X45" i="8"/>
  <c r="Y21" i="9"/>
  <c r="AG19" i="8"/>
  <c r="J32" i="8"/>
  <c r="G35" i="8"/>
  <c r="U17" i="9"/>
  <c r="T17" i="8"/>
  <c r="X27" i="8"/>
  <c r="H17" i="8"/>
  <c r="T8" i="9"/>
  <c r="Y20" i="8"/>
  <c r="C8" i="8"/>
  <c r="L13" i="6"/>
  <c r="J12" i="9"/>
  <c r="E13" i="9"/>
  <c r="Y41" i="8"/>
  <c r="J13" i="8"/>
  <c r="E9" i="6"/>
  <c r="AB31" i="9"/>
  <c r="AF30" i="8"/>
  <c r="Q46" i="8"/>
  <c r="F11" i="6"/>
  <c r="AD38" i="8"/>
  <c r="AC8" i="8"/>
  <c r="AF30" i="9"/>
  <c r="U47" i="8"/>
  <c r="T40" i="8"/>
  <c r="F41" i="8"/>
  <c r="D15" i="6"/>
  <c r="AC13" i="9"/>
  <c r="W36" i="8"/>
  <c r="I9" i="9"/>
  <c r="H13" i="8"/>
  <c r="N17" i="8"/>
  <c r="Z41" i="9"/>
  <c r="AC30" i="8"/>
  <c r="Z8" i="9"/>
  <c r="O35" i="8"/>
  <c r="E9" i="9"/>
  <c r="Y29" i="8"/>
  <c r="AG21" i="9"/>
  <c r="J45" i="9"/>
  <c r="H18" i="8"/>
  <c r="N18" i="8"/>
  <c r="T17" i="9"/>
  <c r="AA29" i="8"/>
  <c r="AC22" i="8"/>
  <c r="N9" i="8"/>
  <c r="AC25" i="9"/>
  <c r="AH28" i="9"/>
  <c r="O44" i="9"/>
  <c r="Y42" i="8"/>
  <c r="F36" i="8"/>
  <c r="G45" i="9"/>
  <c r="W17" i="8"/>
  <c r="U17" i="8"/>
  <c r="Q14" i="8"/>
  <c r="Z26" i="9"/>
  <c r="F30" i="9"/>
  <c r="P13" i="8"/>
  <c r="L10" i="6"/>
  <c r="Z46" i="9"/>
  <c r="K45" i="9"/>
  <c r="AA26" i="8"/>
  <c r="O34" i="9"/>
  <c r="E8" i="8"/>
  <c r="AF39" i="9"/>
  <c r="H17" i="12"/>
  <c r="Q18" i="8"/>
  <c r="AC33" i="9"/>
  <c r="AD29" i="9"/>
  <c r="H8" i="9"/>
  <c r="AE24" i="9"/>
  <c r="F27" i="8"/>
  <c r="L23" i="8"/>
  <c r="Z39" i="9"/>
  <c r="H31" i="9"/>
  <c r="I10" i="9"/>
  <c r="P39" i="8"/>
  <c r="H9" i="8"/>
  <c r="Z33" i="9"/>
  <c r="I16" i="12"/>
  <c r="O28" i="9"/>
  <c r="F35" i="8"/>
  <c r="J14" i="6"/>
  <c r="AH13" i="9"/>
  <c r="F32" i="9"/>
  <c r="X19" i="8"/>
  <c r="M9" i="6"/>
  <c r="AA22" i="9"/>
  <c r="AD11" i="9"/>
  <c r="AE25" i="9"/>
  <c r="AD46" i="8"/>
  <c r="I11" i="6"/>
  <c r="AA28" i="8"/>
  <c r="I33" i="9"/>
  <c r="AD43" i="8"/>
  <c r="T10" i="8"/>
  <c r="G18" i="6"/>
  <c r="F19" i="8"/>
  <c r="AB40" i="9"/>
  <c r="V29" i="8"/>
  <c r="E24" i="8"/>
  <c r="Q28" i="8"/>
  <c r="I47" i="9"/>
  <c r="AC33" i="8"/>
  <c r="AD21" i="8"/>
  <c r="C24" i="8"/>
  <c r="D9" i="7"/>
  <c r="H45" i="9"/>
  <c r="G36" i="9"/>
  <c r="X12" i="8"/>
  <c r="G11" i="8"/>
  <c r="W28" i="9"/>
  <c r="L21" i="9"/>
  <c r="I34" i="8"/>
  <c r="C20" i="8"/>
  <c r="AG8" i="9"/>
  <c r="AB46" i="9"/>
  <c r="Y8" i="8"/>
  <c r="X47" i="9"/>
  <c r="K8" i="6"/>
  <c r="AD17" i="9"/>
  <c r="AH14" i="8"/>
  <c r="H32" i="8"/>
  <c r="AA27" i="8"/>
  <c r="D18" i="6"/>
  <c r="E32" i="8"/>
  <c r="V28" i="8"/>
  <c r="I29" i="9"/>
  <c r="N47" i="9"/>
  <c r="L32" i="9"/>
  <c r="Z23" i="8"/>
  <c r="AA27" i="9"/>
  <c r="N26" i="9"/>
  <c r="I27" i="9"/>
  <c r="W33" i="8"/>
  <c r="N18" i="6"/>
  <c r="AC42" i="8"/>
  <c r="W29" i="9"/>
  <c r="AC24" i="8"/>
  <c r="AB29" i="9"/>
  <c r="G46" i="9"/>
  <c r="Z21" i="9"/>
  <c r="X11" i="9"/>
  <c r="AF36" i="8"/>
  <c r="J33" i="8"/>
  <c r="D14" i="8"/>
  <c r="O28" i="8"/>
  <c r="AE30" i="9"/>
  <c r="AC19" i="8"/>
  <c r="H44" i="8"/>
  <c r="L19" i="9"/>
  <c r="AB18" i="9"/>
  <c r="W21" i="9"/>
  <c r="AB40" i="8"/>
  <c r="L36" i="8"/>
  <c r="C11" i="7"/>
  <c r="V43" i="8"/>
  <c r="Z12" i="8"/>
  <c r="O10" i="8"/>
  <c r="H8" i="6"/>
  <c r="D46" i="9"/>
  <c r="M9" i="9"/>
  <c r="V44" i="8"/>
  <c r="D13" i="8"/>
  <c r="T11" i="9"/>
  <c r="T41" i="9"/>
  <c r="AH41" i="8"/>
  <c r="G28" i="8"/>
  <c r="V38" i="9"/>
  <c r="G47" i="9"/>
  <c r="AF27" i="8"/>
  <c r="J16" i="9"/>
  <c r="H35" i="8"/>
  <c r="AC26" i="9"/>
  <c r="V46" i="9"/>
  <c r="T29" i="8"/>
  <c r="V23" i="8"/>
  <c r="L18" i="8"/>
  <c r="AH29" i="9"/>
  <c r="M25" i="9"/>
  <c r="M29" i="9"/>
  <c r="T33" i="8"/>
  <c r="Q41" i="8"/>
  <c r="U29" i="8"/>
  <c r="N27" i="9"/>
  <c r="L15" i="9"/>
  <c r="P21" i="9"/>
  <c r="AD39" i="9"/>
  <c r="N13" i="9"/>
  <c r="AC23" i="8"/>
  <c r="AE39" i="8"/>
  <c r="I39" i="8"/>
  <c r="AD36" i="9"/>
  <c r="H17" i="9"/>
  <c r="C26" i="9"/>
  <c r="H37" i="8"/>
  <c r="E13" i="6"/>
  <c r="T23" i="9"/>
  <c r="K35" i="9"/>
  <c r="Q16" i="9"/>
  <c r="M36" i="8"/>
  <c r="P29" i="8"/>
  <c r="AE28" i="9"/>
  <c r="AC17" i="8"/>
  <c r="K10" i="6"/>
  <c r="AG37" i="9"/>
  <c r="AH43" i="8"/>
  <c r="K40" i="9"/>
  <c r="D31" i="8"/>
  <c r="H19" i="8"/>
  <c r="AA38" i="8"/>
  <c r="Z23" i="9"/>
  <c r="T34" i="9"/>
  <c r="AE17" i="9"/>
  <c r="AG46" i="8"/>
  <c r="Z38" i="8"/>
  <c r="O14" i="9"/>
  <c r="AF38" i="9"/>
  <c r="I37" i="9"/>
  <c r="T30" i="9"/>
  <c r="P23" i="8"/>
  <c r="G41" i="8"/>
  <c r="H23" i="9"/>
  <c r="AH43" i="9"/>
  <c r="X22" i="8"/>
  <c r="AG20" i="8"/>
  <c r="F13" i="8"/>
  <c r="L23" i="9"/>
  <c r="Z18" i="9"/>
  <c r="P31" i="9"/>
  <c r="H47" i="8"/>
  <c r="J43" i="9"/>
  <c r="L12" i="9"/>
  <c r="G9" i="8"/>
  <c r="P41" i="8"/>
  <c r="E15" i="9"/>
  <c r="J13" i="9"/>
  <c r="I17" i="6"/>
  <c r="C22" i="8"/>
  <c r="M47" i="9"/>
  <c r="W39" i="8"/>
  <c r="Y15" i="8"/>
  <c r="F9" i="8"/>
  <c r="P24" i="8"/>
  <c r="Q11" i="9"/>
  <c r="AF11" i="8"/>
  <c r="D16" i="6"/>
  <c r="I23" i="9"/>
  <c r="AF37" i="9"/>
  <c r="P29" i="9"/>
  <c r="V42" i="9"/>
  <c r="AH16" i="8"/>
  <c r="AE16" i="8"/>
  <c r="AE20" i="8"/>
  <c r="E24" i="9"/>
  <c r="D25" i="9"/>
  <c r="AF47" i="8"/>
  <c r="E18" i="6"/>
  <c r="I18" i="6"/>
  <c r="AC19" i="9"/>
  <c r="X22" i="9"/>
  <c r="X44" i="8"/>
  <c r="Y11" i="9"/>
  <c r="P45" i="9"/>
  <c r="T39" i="8"/>
  <c r="Q20" i="8"/>
  <c r="O8" i="9"/>
  <c r="Z45" i="8"/>
  <c r="N39" i="9"/>
  <c r="L39" i="8"/>
  <c r="J23" i="9"/>
  <c r="AB43" i="8"/>
  <c r="Q43" i="9"/>
  <c r="L14" i="8"/>
  <c r="D27" i="8"/>
  <c r="AB36" i="9"/>
  <c r="M32" i="9"/>
  <c r="T36" i="9"/>
  <c r="J37" i="8"/>
  <c r="AF34" i="9"/>
  <c r="AD47" i="8"/>
  <c r="AH18" i="9"/>
  <c r="N41" i="9"/>
  <c r="AF23" i="9"/>
  <c r="Y11" i="8"/>
  <c r="O9" i="9"/>
  <c r="Z42" i="9"/>
  <c r="T10" i="9"/>
  <c r="W29" i="8"/>
  <c r="K23" i="8"/>
  <c r="M16" i="6"/>
  <c r="U8" i="8"/>
  <c r="E32" i="9"/>
  <c r="U12" i="8"/>
  <c r="K30" i="8"/>
  <c r="N29" i="9"/>
  <c r="P18" i="9"/>
  <c r="Y8" i="9"/>
  <c r="E27" i="8"/>
  <c r="AD34" i="9"/>
  <c r="X30" i="8"/>
  <c r="Y39" i="8"/>
  <c r="AB19" i="9"/>
  <c r="AG16" i="8"/>
  <c r="F26" i="9"/>
  <c r="W21" i="8"/>
  <c r="F42" i="8"/>
  <c r="AA45" i="9"/>
  <c r="P15" i="9"/>
  <c r="Z11" i="8"/>
  <c r="J18" i="6"/>
  <c r="W10" i="9"/>
  <c r="AC11" i="8"/>
  <c r="AG39" i="8"/>
  <c r="AA41" i="9"/>
  <c r="Q32" i="8"/>
  <c r="AD27" i="9"/>
  <c r="U41" i="8"/>
  <c r="AC16" i="8"/>
  <c r="AF35" i="8"/>
  <c r="C14" i="6"/>
  <c r="O21" i="9"/>
  <c r="N35" i="9"/>
  <c r="T38" i="8"/>
  <c r="L20" i="8"/>
  <c r="V12" i="9"/>
  <c r="T9" i="9"/>
  <c r="AG25" i="8"/>
  <c r="AE10" i="8"/>
  <c r="AA23" i="9"/>
  <c r="AG41" i="9"/>
  <c r="D26" i="9"/>
  <c r="V33" i="8"/>
  <c r="M32" i="8"/>
  <c r="V9" i="9"/>
  <c r="Y12" i="8"/>
  <c r="M25" i="8"/>
  <c r="D29" i="9"/>
  <c r="O25" i="9"/>
  <c r="AB28" i="8"/>
  <c r="J21" i="8"/>
  <c r="T29" i="9"/>
  <c r="J44" i="9"/>
  <c r="U9" i="9"/>
  <c r="C40" i="9"/>
  <c r="Q17" i="8"/>
  <c r="AB26" i="9"/>
  <c r="M22" i="9"/>
  <c r="AD37" i="9"/>
  <c r="L11" i="6"/>
  <c r="I43" i="9"/>
  <c r="V39" i="9"/>
  <c r="Z42" i="8"/>
  <c r="M13" i="9"/>
  <c r="N20" i="8"/>
  <c r="AB14" i="9"/>
  <c r="AB37" i="8"/>
  <c r="D47" i="9"/>
  <c r="F39" i="9"/>
  <c r="P32" i="8"/>
  <c r="AD9" i="8"/>
  <c r="AH40" i="8"/>
  <c r="Q36" i="9"/>
  <c r="AB29" i="8"/>
  <c r="D20" i="8"/>
  <c r="V23" i="9"/>
  <c r="AA9" i="9"/>
  <c r="X13" i="9"/>
  <c r="K15" i="6"/>
  <c r="D19" i="8"/>
  <c r="F46" i="9"/>
  <c r="P17" i="9"/>
  <c r="AC25" i="8"/>
  <c r="E15" i="6"/>
  <c r="E10" i="6"/>
  <c r="U9" i="8"/>
  <c r="N37" i="9"/>
  <c r="I19" i="8"/>
  <c r="W9" i="9"/>
  <c r="F25" i="9"/>
  <c r="U35" i="8"/>
  <c r="AB43" i="9"/>
  <c r="F43" i="8"/>
  <c r="X25" i="9"/>
  <c r="AG44" i="9"/>
  <c r="P24" i="9"/>
  <c r="AA45" i="8"/>
  <c r="I32" i="8"/>
  <c r="AD12" i="9"/>
  <c r="AC21" i="8"/>
  <c r="U21" i="8"/>
  <c r="P44" i="9"/>
  <c r="Y28" i="9"/>
  <c r="AH21" i="9"/>
  <c r="X17" i="9"/>
  <c r="K33" i="9"/>
  <c r="J42" i="9"/>
  <c r="J23" i="8"/>
  <c r="T12" i="8"/>
  <c r="AE35" i="9"/>
  <c r="V45" i="9"/>
  <c r="T15" i="8"/>
  <c r="J46" i="8"/>
  <c r="N13" i="6"/>
  <c r="AB9" i="9"/>
  <c r="M34" i="9"/>
  <c r="G44" i="9"/>
  <c r="P40" i="8"/>
  <c r="AF29" i="8"/>
  <c r="AE14" i="9"/>
  <c r="O37" i="9"/>
  <c r="W41" i="8"/>
  <c r="E14" i="8"/>
  <c r="AA8" i="9"/>
  <c r="AG12" i="9"/>
  <c r="AF37" i="8"/>
  <c r="Q8" i="8"/>
  <c r="E38" i="8"/>
  <c r="AF13" i="9"/>
  <c r="AC31" i="9"/>
  <c r="J39" i="8"/>
  <c r="D46" i="8"/>
  <c r="H28" i="9"/>
  <c r="G24" i="9"/>
  <c r="X15" i="8"/>
  <c r="M37" i="8"/>
  <c r="G29" i="8"/>
  <c r="X12" i="9"/>
  <c r="H25" i="9"/>
  <c r="Y35" i="8"/>
  <c r="Z17" i="8"/>
  <c r="N36" i="9"/>
  <c r="O11" i="9"/>
  <c r="I31" i="9"/>
  <c r="AH40" i="9"/>
  <c r="X18" i="8"/>
  <c r="J30" i="9"/>
  <c r="T32" i="8"/>
  <c r="I18" i="9"/>
  <c r="AG10" i="9"/>
  <c r="AD37" i="8"/>
  <c r="AD36" i="8"/>
  <c r="G14" i="6"/>
  <c r="AH38" i="9"/>
  <c r="V47" i="9"/>
  <c r="AA31" i="8"/>
  <c r="AB13" i="8"/>
  <c r="O13" i="8"/>
  <c r="AD9" i="9"/>
  <c r="O26" i="9"/>
  <c r="C32" i="9"/>
  <c r="D34" i="9"/>
  <c r="M17" i="8"/>
  <c r="T21" i="9"/>
  <c r="T40" i="9"/>
  <c r="I45" i="9"/>
  <c r="C25" i="8"/>
  <c r="P12" i="9"/>
  <c r="X31" i="9"/>
  <c r="AE42" i="9"/>
  <c r="K28" i="9"/>
  <c r="AE22" i="8"/>
  <c r="AE30" i="8"/>
  <c r="AB8" i="9"/>
  <c r="AD25" i="8"/>
  <c r="I25" i="8"/>
  <c r="X31" i="8"/>
  <c r="P30" i="9"/>
  <c r="X23" i="8"/>
  <c r="U16" i="9"/>
  <c r="T13" i="8"/>
  <c r="V42" i="8"/>
  <c r="L24" i="8"/>
  <c r="AD10" i="9"/>
  <c r="I11" i="9"/>
  <c r="L47" i="9"/>
  <c r="L32" i="8"/>
  <c r="AA34" i="9"/>
  <c r="J10" i="9"/>
  <c r="Z20" i="8"/>
  <c r="C18" i="8"/>
  <c r="O33" i="8"/>
  <c r="L42" i="9"/>
  <c r="L33" i="9"/>
  <c r="AE43" i="9"/>
  <c r="J11" i="8"/>
  <c r="T25" i="9"/>
  <c r="G33" i="9"/>
  <c r="AC35" i="9"/>
  <c r="J20" i="9"/>
  <c r="L19" i="8"/>
  <c r="G30" i="8"/>
  <c r="AA14" i="9"/>
  <c r="U23" i="8"/>
  <c r="AF10" i="9"/>
  <c r="G9" i="6"/>
  <c r="AB34" i="8"/>
  <c r="P13" i="9"/>
  <c r="T25" i="8"/>
  <c r="U44" i="9"/>
  <c r="H11" i="12"/>
  <c r="H34" i="9"/>
  <c r="W11" i="9"/>
  <c r="F11" i="9"/>
  <c r="D12" i="9"/>
  <c r="M11" i="6"/>
  <c r="G42" i="8"/>
  <c r="H10" i="9"/>
  <c r="U31" i="9"/>
  <c r="P41" i="9"/>
  <c r="E12" i="6"/>
  <c r="AH22" i="8"/>
  <c r="X37" i="9"/>
  <c r="AG19" i="9"/>
  <c r="AF41" i="8"/>
  <c r="Q25" i="8"/>
  <c r="Q23" i="9"/>
  <c r="E23" i="9"/>
  <c r="AD24" i="8"/>
  <c r="D35" i="9"/>
  <c r="I16" i="8"/>
  <c r="Z34" i="9"/>
  <c r="O41" i="9"/>
  <c r="AB36" i="8"/>
  <c r="N34" i="8"/>
  <c r="AA36" i="9"/>
  <c r="K43" i="9"/>
  <c r="J16" i="8"/>
  <c r="L29" i="8"/>
  <c r="AB33" i="9"/>
  <c r="AG45" i="9"/>
  <c r="F44" i="9"/>
  <c r="I28" i="8"/>
  <c r="G18" i="9"/>
  <c r="U26" i="8"/>
  <c r="F40" i="8"/>
  <c r="E22" i="8"/>
  <c r="Z24" i="9"/>
  <c r="K14" i="9"/>
  <c r="W26" i="8"/>
  <c r="F12" i="6"/>
  <c r="Y40" i="9"/>
  <c r="AC39" i="8"/>
  <c r="M42" i="9"/>
  <c r="F25" i="8"/>
  <c r="C38" i="8"/>
  <c r="V14" i="9"/>
  <c r="AE47" i="9"/>
  <c r="AD14" i="8"/>
  <c r="K24" i="8"/>
  <c r="E42" i="8"/>
  <c r="Y10" i="9"/>
  <c r="X29" i="8"/>
  <c r="AG29" i="8"/>
  <c r="P9" i="8"/>
  <c r="H13" i="6"/>
  <c r="K30" i="9"/>
  <c r="P23" i="9"/>
  <c r="AE23" i="8"/>
  <c r="O17" i="8"/>
  <c r="Z44" i="8"/>
  <c r="W22" i="8"/>
  <c r="AH45" i="9"/>
  <c r="U39" i="8"/>
  <c r="F15" i="8"/>
  <c r="I46" i="9"/>
  <c r="AG24" i="8"/>
  <c r="T37" i="8"/>
  <c r="N43" i="9"/>
  <c r="E33" i="8"/>
  <c r="D12" i="7"/>
  <c r="AG26" i="9"/>
  <c r="Q29" i="9"/>
  <c r="M33" i="9"/>
  <c r="E36" i="8"/>
  <c r="AG29" i="9"/>
  <c r="U30" i="9"/>
  <c r="I41" i="9"/>
  <c r="J25" i="8"/>
  <c r="L26" i="9"/>
  <c r="O36" i="9"/>
  <c r="AD35" i="8"/>
  <c r="G37" i="8"/>
  <c r="AB16" i="8"/>
  <c r="M15" i="9"/>
  <c r="F16" i="9"/>
  <c r="AC9" i="8"/>
  <c r="V45" i="8"/>
  <c r="G39" i="8"/>
  <c r="AG17" i="9"/>
  <c r="P43" i="9"/>
  <c r="H12" i="6"/>
  <c r="H24" i="8"/>
  <c r="Y30" i="9"/>
  <c r="F40" i="9"/>
  <c r="Z35" i="8"/>
  <c r="J17" i="8"/>
  <c r="Z14" i="9"/>
  <c r="P28" i="9"/>
  <c r="W14" i="8"/>
  <c r="M47" i="8"/>
  <c r="X20" i="8"/>
  <c r="U25" i="8"/>
  <c r="AD16" i="8"/>
  <c r="J10" i="6"/>
  <c r="Y18" i="9"/>
  <c r="AD41" i="9"/>
  <c r="D18" i="9"/>
  <c r="F29" i="8"/>
  <c r="C16" i="6"/>
  <c r="AG39" i="9"/>
  <c r="AA21" i="8"/>
  <c r="AB11" i="8"/>
  <c r="D14" i="7"/>
  <c r="AB23" i="9"/>
  <c r="AG17" i="8"/>
  <c r="W47" i="8"/>
  <c r="AA44" i="9"/>
  <c r="AC34" i="8"/>
  <c r="Q21" i="9"/>
  <c r="AH10" i="9"/>
  <c r="H47" i="9"/>
  <c r="W17" i="9"/>
  <c r="X39" i="8"/>
  <c r="G16" i="8"/>
  <c r="Q35" i="9"/>
  <c r="AB35" i="9"/>
  <c r="U22" i="8"/>
  <c r="O22" i="8"/>
  <c r="Z40" i="8"/>
  <c r="AH8" i="8"/>
  <c r="AE27" i="9"/>
  <c r="AG40" i="9"/>
  <c r="J9" i="8"/>
  <c r="AE34" i="9"/>
  <c r="P32" i="9"/>
  <c r="F9" i="9"/>
  <c r="P20" i="8"/>
  <c r="K45" i="8"/>
  <c r="G39" i="9"/>
  <c r="G34" i="9"/>
  <c r="AB46" i="8"/>
  <c r="M17" i="6"/>
  <c r="T13" i="9"/>
  <c r="AC39" i="9"/>
  <c r="O35" i="9"/>
  <c r="K22" i="8"/>
  <c r="AH39" i="8"/>
  <c r="L22" i="9"/>
  <c r="M30" i="9"/>
  <c r="F14" i="8"/>
  <c r="W24" i="8"/>
  <c r="T42" i="8"/>
  <c r="AF32" i="9"/>
  <c r="I9" i="8"/>
  <c r="P38" i="9"/>
  <c r="T47" i="9"/>
  <c r="AH28" i="8"/>
  <c r="K29" i="9"/>
  <c r="D35" i="8"/>
  <c r="Q28" i="9"/>
  <c r="Z35" i="9"/>
  <c r="K24" i="9"/>
  <c r="AA36" i="8"/>
  <c r="J17" i="6"/>
  <c r="AE10" i="9"/>
  <c r="N18" i="9"/>
  <c r="P19" i="9"/>
  <c r="F46" i="8"/>
  <c r="Q13" i="9"/>
  <c r="AG33" i="9"/>
  <c r="AE38" i="8"/>
  <c r="M26" i="8"/>
  <c r="G15" i="8"/>
  <c r="AG9" i="9"/>
  <c r="AA24" i="8"/>
  <c r="N8" i="9"/>
  <c r="AB17" i="8"/>
  <c r="C9" i="8"/>
  <c r="U22" i="9"/>
  <c r="T34" i="8"/>
  <c r="W31" i="8"/>
  <c r="M14" i="9"/>
  <c r="D12" i="8"/>
  <c r="AF10" i="8"/>
  <c r="Q39" i="9"/>
  <c r="E44" i="9"/>
  <c r="K8" i="8"/>
  <c r="W34" i="9"/>
  <c r="AA24" i="9"/>
  <c r="Y15" i="9"/>
  <c r="O39" i="9"/>
  <c r="E45" i="8"/>
  <c r="H16" i="12"/>
  <c r="AC43" i="8"/>
  <c r="AD28" i="8"/>
  <c r="N40" i="8"/>
  <c r="AC20" i="9"/>
  <c r="AE45" i="9"/>
  <c r="Y43" i="8"/>
  <c r="C16" i="9"/>
  <c r="K17" i="8"/>
  <c r="AG46" i="9"/>
  <c r="F15" i="9"/>
  <c r="Z10" i="8"/>
  <c r="K13" i="6"/>
  <c r="P27" i="8"/>
  <c r="L13" i="9"/>
  <c r="AF43" i="8"/>
  <c r="G38" i="9"/>
  <c r="E17" i="8"/>
  <c r="V18" i="9"/>
  <c r="AB14" i="8"/>
  <c r="E17" i="9"/>
  <c r="X33" i="9"/>
  <c r="Q34" i="9"/>
  <c r="T19" i="8"/>
  <c r="D11" i="7"/>
  <c r="H33" i="8"/>
  <c r="E18" i="8"/>
  <c r="N10" i="9"/>
  <c r="Z14" i="8"/>
  <c r="AH12" i="8"/>
  <c r="AF35" i="9"/>
  <c r="T42" i="9"/>
  <c r="J44" i="8"/>
  <c r="C10" i="9"/>
  <c r="T26" i="8"/>
  <c r="O27" i="9"/>
  <c r="Q44" i="9"/>
  <c r="I42" i="8"/>
  <c r="H21" i="9"/>
  <c r="Z28" i="8"/>
  <c r="AH39" i="9"/>
  <c r="AC8" i="9"/>
  <c r="W27" i="8"/>
  <c r="N41" i="8"/>
  <c r="G20" i="8"/>
  <c r="G25" i="9"/>
  <c r="P26" i="9"/>
  <c r="G35" i="9"/>
  <c r="L38" i="9"/>
  <c r="AF27" i="9"/>
  <c r="AC36" i="8"/>
  <c r="AB38" i="8"/>
  <c r="G45" i="8"/>
  <c r="L29" i="9"/>
  <c r="AB39" i="9"/>
  <c r="AB45" i="8"/>
  <c r="P15" i="8"/>
  <c r="V8" i="8"/>
  <c r="Q14" i="9"/>
  <c r="AD19" i="9"/>
  <c r="AH38" i="8"/>
  <c r="P8" i="8"/>
  <c r="L9" i="6"/>
  <c r="AF17" i="9"/>
  <c r="AB44" i="8"/>
  <c r="N10" i="8"/>
  <c r="F19" i="9"/>
  <c r="F12" i="9"/>
  <c r="N22" i="9"/>
  <c r="K16" i="8"/>
  <c r="W46" i="9"/>
  <c r="AD13" i="8"/>
  <c r="U14" i="8"/>
  <c r="U32" i="8"/>
  <c r="N19" i="8"/>
  <c r="Z22" i="9"/>
  <c r="AF31" i="9"/>
  <c r="W38" i="8"/>
  <c r="M20" i="8"/>
  <c r="F43" i="9"/>
  <c r="V24" i="9"/>
  <c r="V40" i="9"/>
  <c r="D40" i="8"/>
  <c r="N45" i="8"/>
  <c r="Y47" i="9"/>
  <c r="AG9" i="8"/>
  <c r="Y38" i="8"/>
  <c r="Y30" i="8"/>
  <c r="E9" i="8"/>
  <c r="U27" i="8"/>
  <c r="W22" i="9"/>
  <c r="V34" i="9"/>
  <c r="K11" i="8"/>
  <c r="F17" i="8"/>
  <c r="H12" i="9"/>
  <c r="L30" i="9"/>
  <c r="G33" i="8"/>
  <c r="I8" i="8"/>
  <c r="AE38" i="9"/>
  <c r="Y25" i="9"/>
  <c r="T14" i="8"/>
  <c r="P19" i="8"/>
  <c r="O38" i="9"/>
  <c r="Z15" i="9"/>
  <c r="M35" i="9"/>
  <c r="Q45" i="9"/>
  <c r="Y37" i="8"/>
  <c r="L30" i="8"/>
  <c r="V21" i="9"/>
  <c r="J19" i="9"/>
  <c r="Z33" i="8"/>
  <c r="AH11" i="8"/>
  <c r="Q26" i="9"/>
  <c r="V37" i="9"/>
  <c r="Z27" i="8"/>
  <c r="AF44" i="9"/>
  <c r="X41" i="9"/>
  <c r="M16" i="9"/>
  <c r="C19" i="9"/>
  <c r="Q46" i="9"/>
  <c r="K22" i="9"/>
  <c r="Y38" i="9"/>
  <c r="L14" i="9"/>
  <c r="H14" i="8"/>
  <c r="W23" i="9"/>
  <c r="K27" i="9"/>
  <c r="H32" i="9"/>
  <c r="N31" i="8"/>
  <c r="V16" i="9"/>
  <c r="Y41" i="9"/>
  <c r="AC27" i="8"/>
  <c r="H22" i="8"/>
  <c r="AB20" i="8"/>
  <c r="M13" i="6"/>
  <c r="N37" i="8"/>
  <c r="K38" i="8"/>
  <c r="K35" i="8"/>
  <c r="G8" i="6"/>
  <c r="Z12" i="9"/>
  <c r="E43" i="9"/>
  <c r="AA18" i="8"/>
  <c r="AC42" i="9"/>
  <c r="E11" i="9"/>
  <c r="X28" i="8"/>
  <c r="K33" i="8"/>
  <c r="M39" i="9"/>
  <c r="V37" i="8"/>
  <c r="K19" i="9"/>
  <c r="Q12" i="9"/>
  <c r="E20" i="8"/>
  <c r="X30" i="9"/>
  <c r="K8" i="9"/>
  <c r="E34" i="9"/>
  <c r="K37" i="9"/>
  <c r="W19" i="8"/>
  <c r="Q42" i="8"/>
  <c r="AG28" i="9"/>
  <c r="AD24" i="9"/>
  <c r="AB18" i="8"/>
  <c r="AD45" i="8"/>
  <c r="V8" i="9"/>
  <c r="G8" i="9"/>
  <c r="AD32" i="9"/>
  <c r="H26" i="8"/>
  <c r="Y9" i="9"/>
  <c r="X26" i="8"/>
  <c r="AE37" i="9"/>
  <c r="Y18" i="8"/>
  <c r="D28" i="9"/>
  <c r="AG23" i="9"/>
  <c r="AH10" i="8"/>
  <c r="E23" i="8"/>
  <c r="Q24" i="8"/>
  <c r="AC11" i="9"/>
  <c r="V34" i="8"/>
  <c r="AG22" i="8"/>
  <c r="I44" i="8"/>
  <c r="L25" i="9"/>
  <c r="AD23" i="9"/>
  <c r="W18" i="8"/>
  <c r="E19" i="8"/>
  <c r="AE19" i="9"/>
  <c r="AF29" i="9"/>
  <c r="AD17" i="8"/>
  <c r="J20" i="8"/>
  <c r="AE22" i="9"/>
  <c r="AE29" i="9"/>
  <c r="AA25" i="9"/>
  <c r="L35" i="8"/>
  <c r="AF21" i="9"/>
  <c r="Y22" i="8"/>
  <c r="F21" i="8"/>
  <c r="E34" i="8"/>
  <c r="Y27" i="9"/>
  <c r="V36" i="8"/>
  <c r="X42" i="8"/>
  <c r="N29" i="8"/>
  <c r="Q17" i="9"/>
  <c r="J14" i="9"/>
  <c r="Y31" i="8"/>
  <c r="C21" i="8"/>
  <c r="Z29" i="8"/>
  <c r="Y16" i="9"/>
  <c r="W43" i="9"/>
  <c r="H16" i="9"/>
  <c r="N33" i="8"/>
  <c r="I8" i="9"/>
  <c r="Z40" i="9"/>
  <c r="O47" i="9"/>
  <c r="J36" i="8"/>
  <c r="AG15" i="9"/>
  <c r="H41" i="9"/>
  <c r="U37" i="9"/>
  <c r="Y34" i="8"/>
  <c r="I15" i="6"/>
  <c r="AE20" i="9"/>
  <c r="M17" i="9"/>
  <c r="Z22" i="8"/>
  <c r="Q30" i="9"/>
  <c r="Q10" i="9"/>
  <c r="Y36" i="9"/>
  <c r="V39" i="8"/>
  <c r="O42" i="8"/>
  <c r="W19" i="9"/>
  <c r="AA42" i="8"/>
  <c r="C8" i="9"/>
  <c r="AH24" i="8"/>
  <c r="K39" i="9"/>
  <c r="AA8" i="8"/>
  <c r="Q31" i="9"/>
  <c r="O23" i="8"/>
  <c r="W35" i="9"/>
  <c r="D29" i="8"/>
  <c r="M42" i="8"/>
  <c r="H36" i="9"/>
  <c r="U38" i="8"/>
  <c r="W14" i="9"/>
  <c r="M8" i="8"/>
  <c r="U12" i="9"/>
  <c r="U18" i="9"/>
  <c r="AE13" i="8"/>
  <c r="J24" i="9"/>
  <c r="I12" i="6"/>
  <c r="AB12" i="9"/>
  <c r="AH46" i="9"/>
  <c r="T37" i="9"/>
  <c r="O12" i="8"/>
  <c r="G14" i="8"/>
  <c r="AA47" i="9"/>
  <c r="AC37" i="9"/>
  <c r="AG31" i="8"/>
  <c r="I40" i="8"/>
  <c r="G17" i="6"/>
  <c r="X45" i="9"/>
  <c r="Q18" i="9"/>
  <c r="Z17" i="9"/>
  <c r="I46" i="8"/>
  <c r="AF19" i="9"/>
  <c r="Z24" i="8"/>
  <c r="AE39" i="9"/>
  <c r="H46" i="8"/>
  <c r="K47" i="8"/>
  <c r="AA43" i="9"/>
  <c r="Y26" i="8"/>
  <c r="E16" i="9"/>
  <c r="L41" i="9"/>
  <c r="AD44" i="8"/>
  <c r="L21" i="8"/>
  <c r="AH15" i="9"/>
  <c r="AC45" i="9"/>
  <c r="U43" i="8"/>
  <c r="U37" i="8"/>
  <c r="D36" i="8"/>
  <c r="D9" i="9"/>
  <c r="T38" i="9"/>
  <c r="E29" i="8"/>
  <c r="M41" i="8"/>
  <c r="X34" i="8"/>
  <c r="K12" i="9"/>
  <c r="H14" i="9"/>
  <c r="K44" i="9"/>
  <c r="D44" i="8"/>
  <c r="X8" i="9"/>
  <c r="U13" i="9"/>
  <c r="AB39" i="8"/>
  <c r="AA41" i="8"/>
  <c r="J15" i="8"/>
  <c r="AH25" i="9"/>
  <c r="V41" i="8"/>
  <c r="O43" i="9"/>
  <c r="AA32" i="8"/>
  <c r="I27" i="8"/>
  <c r="AF14" i="9"/>
  <c r="V31" i="8"/>
  <c r="Y46" i="8"/>
  <c r="P34" i="8"/>
  <c r="V30" i="9"/>
  <c r="J11" i="9"/>
  <c r="U24" i="9"/>
  <c r="E12" i="9"/>
  <c r="M23" i="8"/>
  <c r="Z32" i="9"/>
  <c r="E47" i="9"/>
  <c r="V18" i="8"/>
  <c r="AB24" i="9"/>
  <c r="O41" i="8"/>
  <c r="C34" i="9"/>
  <c r="I28" i="9"/>
  <c r="E14" i="9"/>
  <c r="H8" i="8"/>
  <c r="AG36" i="8"/>
  <c r="F17" i="9"/>
  <c r="T30" i="8"/>
  <c r="K29" i="8"/>
  <c r="AF20" i="9"/>
  <c r="Z31" i="9"/>
  <c r="J21" i="9"/>
  <c r="M10" i="6"/>
  <c r="J47" i="8"/>
  <c r="AF40" i="9"/>
  <c r="T32" i="9"/>
  <c r="L45" i="9"/>
  <c r="N17" i="6"/>
  <c r="H29" i="9"/>
  <c r="U28" i="8"/>
  <c r="C39" i="9"/>
  <c r="V11" i="8"/>
  <c r="AH42" i="9"/>
  <c r="V15" i="8"/>
  <c r="P22" i="8"/>
  <c r="U47" i="9"/>
  <c r="K15" i="9"/>
  <c r="G23" i="9"/>
  <c r="T20" i="9"/>
  <c r="O11" i="8"/>
  <c r="H10" i="12"/>
  <c r="C11" i="9"/>
  <c r="AC46" i="9"/>
  <c r="N15" i="8"/>
  <c r="C46" i="9"/>
  <c r="AE40" i="8"/>
  <c r="G22" i="8"/>
  <c r="H42" i="8"/>
  <c r="AD46" i="9"/>
  <c r="V21" i="8"/>
  <c r="I18" i="12"/>
  <c r="D45" i="8"/>
  <c r="C11" i="8"/>
  <c r="P16" i="9"/>
  <c r="AH36" i="9"/>
  <c r="AH36" i="8"/>
  <c r="AG30" i="9"/>
  <c r="N10" i="6"/>
  <c r="AF28" i="9"/>
  <c r="AD12" i="8"/>
  <c r="J33" i="9"/>
  <c r="O38" i="8"/>
  <c r="M46" i="8"/>
  <c r="AD13" i="9"/>
  <c r="AB31" i="8"/>
  <c r="N44" i="9"/>
  <c r="Q37" i="8"/>
  <c r="Y17" i="9"/>
  <c r="T33" i="9"/>
  <c r="AH21" i="8"/>
  <c r="P33" i="8"/>
  <c r="C30" i="9"/>
  <c r="N11" i="9"/>
  <c r="V36" i="9"/>
  <c r="O40" i="8"/>
  <c r="AC38" i="8"/>
  <c r="X10" i="9"/>
  <c r="T45" i="9"/>
  <c r="AC45" i="8"/>
  <c r="M27" i="8"/>
  <c r="AF18" i="9"/>
  <c r="V16" i="8"/>
  <c r="I44" i="9"/>
  <c r="H25" i="8"/>
  <c r="M41" i="9"/>
  <c r="W33" i="9"/>
  <c r="AA19" i="8"/>
  <c r="AG12" i="8"/>
  <c r="M38" i="8"/>
  <c r="V17" i="9"/>
  <c r="AB45" i="9"/>
  <c r="K34" i="9"/>
  <c r="H11" i="6"/>
  <c r="O26" i="8"/>
  <c r="W39" i="9"/>
  <c r="U45" i="9"/>
  <c r="F28" i="9"/>
  <c r="M30" i="8"/>
  <c r="AF41" i="9"/>
  <c r="AG14" i="9"/>
  <c r="AF21" i="8"/>
  <c r="C19" i="8"/>
  <c r="L46" i="8"/>
  <c r="M24" i="9"/>
  <c r="AA34" i="8"/>
  <c r="AH44" i="9"/>
  <c r="AB47" i="9"/>
  <c r="AB22" i="9"/>
  <c r="M11" i="8"/>
  <c r="AB20" i="9"/>
  <c r="V12" i="8"/>
  <c r="M24" i="8"/>
  <c r="G34" i="8"/>
  <c r="X38" i="9"/>
  <c r="C36" i="9"/>
  <c r="AF20" i="8"/>
  <c r="AF28" i="8"/>
  <c r="W27" i="9"/>
  <c r="D32" i="9"/>
  <c r="T36" i="8"/>
  <c r="X24" i="8"/>
  <c r="AB41" i="9"/>
  <c r="P34" i="9"/>
  <c r="X46" i="8"/>
  <c r="I23" i="8"/>
  <c r="I38" i="8"/>
  <c r="AB30" i="9"/>
  <c r="F18" i="9"/>
  <c r="AG11" i="8"/>
  <c r="C31" i="8"/>
  <c r="AC22" i="9"/>
  <c r="O16" i="9"/>
  <c r="V10" i="8"/>
  <c r="H15" i="8"/>
  <c r="U33" i="8"/>
  <c r="AF8" i="9"/>
  <c r="N14" i="8"/>
  <c r="I9" i="12"/>
  <c r="M19" i="9"/>
  <c r="X18" i="9"/>
  <c r="AA30" i="8"/>
  <c r="G13" i="8"/>
  <c r="AG13" i="9"/>
  <c r="E37" i="8"/>
  <c r="Q44" i="8"/>
  <c r="N17" i="9"/>
  <c r="L31" i="8"/>
  <c r="D30" i="9"/>
  <c r="F18" i="6"/>
  <c r="AB10" i="9"/>
  <c r="F18" i="8"/>
  <c r="N20" i="9"/>
  <c r="W32" i="8"/>
  <c r="AH14" i="9"/>
  <c r="P14" i="9"/>
  <c r="AE44" i="8"/>
  <c r="I34" i="9"/>
  <c r="W9" i="8"/>
  <c r="G40" i="9"/>
  <c r="J35" i="9"/>
  <c r="K32" i="8"/>
  <c r="L43" i="8"/>
  <c r="L11" i="8"/>
  <c r="AA20" i="9"/>
  <c r="X16" i="8"/>
  <c r="E30" i="9"/>
  <c r="H39" i="9"/>
  <c r="AE32" i="8"/>
  <c r="H18" i="9"/>
  <c r="Z20" i="9"/>
  <c r="AG28" i="8"/>
  <c r="Q13" i="8"/>
  <c r="J17" i="9"/>
  <c r="AB37" i="9"/>
  <c r="AH15" i="8"/>
  <c r="AH25" i="8"/>
  <c r="H27" i="9"/>
  <c r="G22" i="9"/>
  <c r="AB10" i="8"/>
  <c r="H43" i="9"/>
  <c r="AF33" i="8"/>
  <c r="G40" i="8"/>
  <c r="AC21" i="9"/>
  <c r="AD22" i="9"/>
  <c r="C23" i="9"/>
  <c r="G26" i="9"/>
  <c r="O19" i="9"/>
  <c r="U24" i="8"/>
  <c r="AA33" i="8"/>
  <c r="C17" i="6"/>
  <c r="O39" i="8"/>
  <c r="AE21" i="9"/>
  <c r="AA14" i="8"/>
  <c r="O20" i="8"/>
  <c r="V41" i="9"/>
  <c r="AE46" i="8"/>
  <c r="K46" i="9"/>
  <c r="Z26" i="8"/>
  <c r="N30" i="9"/>
  <c r="AB42" i="8"/>
  <c r="AB47" i="8"/>
  <c r="K34" i="8"/>
  <c r="U8" i="9"/>
  <c r="AC27" i="9"/>
  <c r="AA22" i="8"/>
  <c r="V25" i="8"/>
  <c r="C27" i="8"/>
  <c r="Y45" i="8"/>
  <c r="M26" i="9"/>
  <c r="V19" i="8"/>
  <c r="D15" i="8"/>
  <c r="Q20" i="9"/>
  <c r="K18" i="9"/>
  <c r="AH13" i="8"/>
  <c r="Q47" i="9"/>
  <c r="AD40" i="8"/>
  <c r="AG38" i="9"/>
  <c r="T26" i="9"/>
  <c r="P37" i="8"/>
  <c r="D10" i="7"/>
  <c r="H27" i="8"/>
  <c r="Y45" i="9"/>
  <c r="AG21" i="8"/>
  <c r="L31" i="9"/>
  <c r="F28" i="8"/>
  <c r="C12" i="9"/>
  <c r="AE26" i="9"/>
  <c r="AH37" i="8"/>
  <c r="K14" i="8"/>
  <c r="AH29" i="8"/>
  <c r="AE21" i="8"/>
  <c r="AC13" i="8"/>
  <c r="C21" i="9"/>
  <c r="E8" i="9"/>
  <c r="AA46" i="8"/>
  <c r="AD10" i="8"/>
  <c r="C35" i="8"/>
  <c r="I32" i="9"/>
  <c r="T21" i="8"/>
  <c r="Q24" i="9"/>
  <c r="L18" i="6"/>
  <c r="P30" i="8"/>
  <c r="AG36" i="9"/>
  <c r="Z31" i="8"/>
  <c r="AF18" i="8"/>
  <c r="J43" i="8"/>
  <c r="P8" i="9"/>
  <c r="I25" i="9"/>
  <c r="AD8" i="8"/>
  <c r="F37" i="8"/>
  <c r="AH27" i="9"/>
  <c r="M9" i="8"/>
  <c r="F32" i="8"/>
  <c r="AB44" i="9"/>
  <c r="E25" i="8"/>
  <c r="AE25" i="8"/>
  <c r="Z38" i="9"/>
  <c r="L28" i="8"/>
  <c r="K36" i="9"/>
  <c r="M44" i="8"/>
  <c r="Y19" i="9"/>
  <c r="Y33" i="8"/>
  <c r="J41" i="9"/>
  <c r="J35" i="8"/>
  <c r="K21" i="8"/>
  <c r="V43" i="9"/>
  <c r="AB21" i="8"/>
  <c r="D26" i="8"/>
  <c r="J30" i="8"/>
  <c r="Y46" i="9"/>
  <c r="Y14" i="8"/>
  <c r="AF15" i="8"/>
  <c r="J38" i="8"/>
  <c r="N24" i="9"/>
  <c r="J37" i="9"/>
  <c r="AA12" i="8"/>
  <c r="D17" i="6"/>
  <c r="N28" i="8"/>
  <c r="L28" i="9"/>
  <c r="AE8" i="9"/>
  <c r="AA13" i="8"/>
  <c r="H14" i="6"/>
  <c r="AB32" i="9"/>
  <c r="P9" i="9"/>
  <c r="AA9" i="8"/>
  <c r="F34" i="8"/>
  <c r="AA32" i="9"/>
  <c r="W32" i="9"/>
  <c r="H9" i="9"/>
  <c r="J12" i="8"/>
  <c r="V31" i="9"/>
  <c r="AD25" i="9"/>
  <c r="Z13" i="8"/>
  <c r="AB15" i="8"/>
  <c r="D14" i="6"/>
  <c r="X20" i="9"/>
  <c r="W45" i="8"/>
  <c r="L42" i="8"/>
  <c r="U43" i="9"/>
  <c r="Y34" i="9"/>
  <c r="X42" i="9"/>
  <c r="I12" i="8"/>
  <c r="AD18" i="8"/>
  <c r="X9" i="9"/>
  <c r="K47" i="9"/>
  <c r="AF33" i="9"/>
  <c r="K11" i="9"/>
  <c r="D8" i="6"/>
  <c r="AC32" i="9"/>
  <c r="U30" i="8"/>
  <c r="H22" i="9"/>
  <c r="C38" i="9"/>
  <c r="J28" i="8"/>
  <c r="X39" i="9"/>
  <c r="AC9" i="9"/>
  <c r="AE33" i="8"/>
  <c r="P44" i="8"/>
  <c r="AG35" i="8"/>
  <c r="AG27" i="9"/>
  <c r="AG33" i="8"/>
  <c r="L41" i="8"/>
  <c r="H18" i="6"/>
  <c r="E45" i="9"/>
  <c r="W47" i="9"/>
  <c r="M46" i="9"/>
  <c r="T47" i="8"/>
  <c r="F44" i="8"/>
  <c r="Q40" i="9"/>
  <c r="AD20" i="9"/>
  <c r="AG27" i="8"/>
  <c r="L11" i="9"/>
  <c r="V44" i="9"/>
  <c r="AE18" i="9"/>
  <c r="AH35" i="9"/>
  <c r="H11" i="9"/>
  <c r="AE13" i="9"/>
  <c r="Z19" i="9"/>
  <c r="AH31" i="8"/>
  <c r="H9" i="6"/>
  <c r="V32" i="9"/>
  <c r="K23" i="9"/>
  <c r="U10" i="8"/>
  <c r="M22" i="8"/>
  <c r="O46" i="9"/>
  <c r="W25" i="9"/>
  <c r="Z25" i="8"/>
  <c r="K37" i="8"/>
  <c r="I35" i="8"/>
  <c r="AE9" i="9"/>
  <c r="D37" i="9"/>
  <c r="H21" i="8"/>
  <c r="T28" i="9"/>
  <c r="AF16" i="8"/>
  <c r="O40" i="9"/>
  <c r="AB32" i="8"/>
  <c r="AH8" i="9"/>
  <c r="U46" i="9"/>
  <c r="V30" i="8"/>
  <c r="G23" i="8"/>
  <c r="AC29" i="8"/>
  <c r="N24" i="8"/>
  <c r="F29" i="9"/>
  <c r="Q23" i="8"/>
  <c r="AH19" i="9"/>
  <c r="X21" i="9"/>
  <c r="AH17" i="8"/>
  <c r="AH37" i="9"/>
  <c r="E30" i="8"/>
  <c r="L27" i="8"/>
  <c r="AB21" i="9"/>
  <c r="AH30" i="9"/>
  <c r="C10" i="8"/>
  <c r="I10" i="6"/>
  <c r="AD43" i="9"/>
  <c r="N14" i="9"/>
  <c r="AC12" i="8"/>
  <c r="P45" i="8"/>
  <c r="D37" i="8"/>
  <c r="V20" i="9"/>
  <c r="AF17" i="8"/>
  <c r="D27" i="9"/>
  <c r="X14" i="8"/>
  <c r="I43" i="8"/>
  <c r="AH35" i="8"/>
  <c r="D16" i="9"/>
  <c r="J29" i="9"/>
  <c r="E31" i="8"/>
  <c r="AA31" i="9"/>
  <c r="O18" i="9"/>
  <c r="AF38" i="8"/>
  <c r="G44" i="8"/>
  <c r="O13" i="9"/>
  <c r="V35" i="9"/>
  <c r="AG10" i="8"/>
  <c r="N27" i="8"/>
  <c r="AD42" i="9"/>
  <c r="U28" i="9"/>
  <c r="T19" i="9"/>
  <c r="G31" i="8"/>
  <c r="N9" i="6"/>
  <c r="AH9" i="9"/>
  <c r="T44" i="8"/>
  <c r="AE12" i="8"/>
  <c r="K14" i="6"/>
  <c r="AF11" i="9"/>
  <c r="C27" i="9"/>
  <c r="E31" i="9"/>
  <c r="Q15" i="8"/>
  <c r="F8" i="6"/>
  <c r="J46" i="9"/>
  <c r="G28" i="9"/>
  <c r="AC47" i="8"/>
  <c r="D23" i="8"/>
  <c r="W37" i="9"/>
  <c r="D11" i="9"/>
  <c r="I22" i="9"/>
  <c r="AD23" i="8"/>
  <c r="O36" i="8"/>
  <c r="AF40" i="8"/>
  <c r="AC26" i="8"/>
  <c r="H15" i="6"/>
  <c r="I45" i="8"/>
  <c r="AC18" i="9"/>
  <c r="C29" i="9"/>
  <c r="O37" i="8"/>
  <c r="G32" i="8"/>
  <c r="AC34" i="9"/>
  <c r="Y44" i="8"/>
  <c r="P47" i="8"/>
  <c r="W24" i="9"/>
  <c r="AE18" i="8"/>
  <c r="P36" i="8"/>
  <c r="P25" i="8"/>
  <c r="AA28" i="9"/>
  <c r="AF12" i="9"/>
  <c r="AG37" i="8"/>
  <c r="E16" i="6"/>
  <c r="AB38" i="9"/>
  <c r="U16" i="8"/>
  <c r="M38" i="9"/>
  <c r="Q29" i="8"/>
  <c r="O30" i="8"/>
  <c r="AD16" i="9"/>
  <c r="U19" i="8"/>
  <c r="N21" i="9"/>
  <c r="AF25" i="8"/>
  <c r="AB15" i="9"/>
  <c r="Y28" i="8"/>
  <c r="V26" i="8"/>
  <c r="M19" i="8"/>
  <c r="V22" i="8"/>
  <c r="U32" i="9"/>
  <c r="N31" i="9"/>
  <c r="K40" i="8"/>
  <c r="AD14" i="9"/>
  <c r="D14" i="9"/>
  <c r="AE37" i="8"/>
  <c r="K16" i="9"/>
  <c r="Q30" i="8"/>
  <c r="X43" i="8"/>
  <c r="AC28" i="9"/>
  <c r="L22" i="8"/>
  <c r="G8" i="8"/>
  <c r="M27" i="9"/>
  <c r="I36" i="9"/>
  <c r="AG23" i="8"/>
  <c r="AH30" i="8"/>
  <c r="L10" i="8"/>
  <c r="Z43" i="9"/>
  <c r="I24" i="9"/>
  <c r="F41" i="9"/>
  <c r="N12" i="6"/>
  <c r="O24" i="8"/>
  <c r="Y33" i="9"/>
  <c r="E22" i="9"/>
  <c r="K26" i="9"/>
  <c r="N43" i="8"/>
  <c r="K41" i="9"/>
  <c r="E46" i="9"/>
  <c r="AC46" i="8"/>
  <c r="E11" i="8"/>
  <c r="E36" i="9"/>
  <c r="Z30" i="9"/>
  <c r="E10" i="9"/>
  <c r="M33" i="8"/>
  <c r="P37" i="9"/>
  <c r="U42" i="9"/>
  <c r="H26" i="9"/>
  <c r="N15" i="6"/>
  <c r="M31" i="8"/>
  <c r="P22" i="9"/>
  <c r="AF14" i="8"/>
  <c r="G10" i="8"/>
  <c r="L18" i="9"/>
  <c r="L24" i="9"/>
  <c r="AE11" i="9"/>
  <c r="F31" i="9"/>
  <c r="H38" i="9"/>
  <c r="AB34" i="9"/>
  <c r="AB13" i="9"/>
  <c r="J18" i="9"/>
  <c r="AB30" i="8"/>
  <c r="J29" i="8"/>
  <c r="H45" i="8"/>
  <c r="AB24" i="8"/>
  <c r="N40" i="9"/>
  <c r="W40" i="8"/>
  <c r="D24" i="8"/>
  <c r="K25" i="8"/>
  <c r="U31" i="8"/>
  <c r="AE17" i="8"/>
  <c r="V29" i="9"/>
  <c r="N32" i="9"/>
  <c r="W40" i="9"/>
  <c r="AH12" i="9"/>
  <c r="F23" i="9"/>
  <c r="F8" i="8"/>
  <c r="K31" i="8"/>
  <c r="W18" i="9"/>
  <c r="AH18" i="8"/>
  <c r="L37" i="8"/>
  <c r="O30" i="9"/>
  <c r="C13" i="7"/>
  <c r="AG16" i="9"/>
  <c r="N19" i="9"/>
  <c r="P21" i="8"/>
  <c r="N12" i="8"/>
  <c r="L36" i="9"/>
  <c r="Q9" i="9"/>
  <c r="W15" i="8"/>
  <c r="I30" i="8"/>
  <c r="O17" i="9"/>
  <c r="AG47" i="9"/>
  <c r="AG13" i="8"/>
  <c r="AA19" i="9"/>
  <c r="Q39" i="8"/>
  <c r="Z8" i="8"/>
  <c r="AA25" i="8"/>
  <c r="P17" i="8"/>
  <c r="H40" i="8"/>
  <c r="AF23" i="8"/>
  <c r="AE44" i="9"/>
  <c r="AC17" i="9"/>
  <c r="L39" i="9"/>
  <c r="C17" i="8"/>
  <c r="AG32" i="9"/>
  <c r="C43" i="9"/>
  <c r="F12" i="8"/>
  <c r="Y39" i="9"/>
  <c r="X38" i="8"/>
  <c r="M21" i="8"/>
  <c r="D21" i="8"/>
  <c r="AH33" i="9"/>
  <c r="Q32" i="9"/>
  <c r="AH41" i="9"/>
  <c r="Q31" i="8"/>
  <c r="I47" i="8"/>
  <c r="AC16" i="9"/>
  <c r="AA17" i="8"/>
  <c r="F24" i="8"/>
  <c r="H43" i="8"/>
  <c r="AC32" i="8"/>
  <c r="G32" i="9"/>
  <c r="L27" i="9"/>
  <c r="E26" i="8"/>
  <c r="X32" i="9"/>
  <c r="AA43" i="8"/>
  <c r="F22" i="9"/>
  <c r="N16" i="8"/>
  <c r="AE32" i="9"/>
  <c r="AC14" i="8"/>
  <c r="W13" i="8"/>
  <c r="Q36" i="8"/>
  <c r="T20" i="8"/>
  <c r="W42" i="8"/>
  <c r="T28" i="8"/>
  <c r="J36" i="9"/>
  <c r="L12" i="8"/>
  <c r="U40" i="8"/>
  <c r="U29" i="9"/>
  <c r="F8" i="9"/>
  <c r="V46" i="8"/>
  <c r="H30" i="9"/>
  <c r="O23" i="9"/>
  <c r="E35" i="8"/>
  <c r="P38" i="8"/>
  <c r="AH11" i="9"/>
  <c r="E21" i="9"/>
  <c r="W12" i="8"/>
  <c r="G24" i="8"/>
  <c r="P43" i="8"/>
  <c r="L20" i="9"/>
  <c r="Y17" i="8"/>
  <c r="H15" i="9"/>
  <c r="N35" i="8"/>
  <c r="C30" i="8"/>
  <c r="AC24" i="9"/>
  <c r="AH44" i="8"/>
  <c r="E21" i="8"/>
  <c r="M18" i="6"/>
  <c r="AC40" i="9"/>
  <c r="G14" i="9"/>
  <c r="Q38" i="9"/>
  <c r="J31" i="8"/>
  <c r="AD8" i="9"/>
  <c r="Z30" i="8"/>
  <c r="M18" i="8"/>
  <c r="F21" i="9"/>
  <c r="F33" i="8"/>
  <c r="AG44" i="8"/>
  <c r="L8" i="9"/>
  <c r="G10" i="9"/>
  <c r="H39" i="8"/>
  <c r="E11" i="6"/>
  <c r="P33" i="9"/>
  <c r="D33" i="9"/>
  <c r="AF13" i="8"/>
  <c r="AF45" i="9"/>
  <c r="D23" i="9"/>
  <c r="Z19" i="8"/>
  <c r="AH34" i="9"/>
  <c r="Z13" i="9"/>
  <c r="AG14" i="8"/>
  <c r="L16" i="9"/>
  <c r="D17" i="8"/>
  <c r="AE47" i="8"/>
  <c r="O32" i="9"/>
  <c r="Z27" i="9"/>
  <c r="L40" i="8"/>
  <c r="L15" i="6"/>
  <c r="AH17" i="9"/>
  <c r="AH23" i="8"/>
  <c r="M10" i="9"/>
  <c r="D30" i="8"/>
  <c r="Q43" i="8"/>
  <c r="C9" i="7"/>
  <c r="L43" i="9"/>
  <c r="I24" i="8"/>
  <c r="W41" i="9"/>
  <c r="G12" i="9"/>
  <c r="E42" i="9"/>
  <c r="J14" i="8"/>
  <c r="AG47" i="8"/>
  <c r="X26" i="9"/>
  <c r="D13" i="9"/>
  <c r="F11" i="8"/>
  <c r="W37" i="8"/>
  <c r="D33" i="8"/>
  <c r="W16" i="9"/>
  <c r="T24" i="8"/>
  <c r="H36" i="8"/>
  <c r="D16" i="8"/>
  <c r="I20" i="8"/>
  <c r="X27" i="9"/>
  <c r="AB17" i="9"/>
  <c r="E28" i="8"/>
  <c r="C46" i="8"/>
  <c r="I21" i="8"/>
  <c r="AH47" i="9"/>
  <c r="AG30" i="8"/>
  <c r="AD11" i="8"/>
  <c r="M45" i="8"/>
  <c r="X44" i="9"/>
  <c r="E41" i="9"/>
  <c r="Y32" i="8"/>
  <c r="C10" i="7"/>
  <c r="D42" i="8"/>
  <c r="M23" i="9"/>
  <c r="AE24" i="8"/>
  <c r="D10" i="8"/>
  <c r="AG22" i="9"/>
  <c r="W44" i="8"/>
  <c r="T27" i="8"/>
  <c r="C25" i="9"/>
  <c r="T16" i="9"/>
  <c r="AE8" i="8"/>
  <c r="Q27" i="9"/>
  <c r="I15" i="8"/>
  <c r="C47" i="8"/>
  <c r="G17" i="9"/>
  <c r="Q37" i="9"/>
  <c r="AB8" i="8"/>
  <c r="E15" i="8"/>
  <c r="G18" i="8"/>
  <c r="AA10" i="9"/>
  <c r="M28" i="9"/>
  <c r="Q15" i="9"/>
  <c r="M8" i="6"/>
  <c r="AC10" i="9"/>
  <c r="F37" i="9"/>
  <c r="Y21" i="8"/>
  <c r="P14" i="8"/>
  <c r="G37" i="9"/>
  <c r="X9" i="8"/>
  <c r="AG15" i="8"/>
  <c r="W30" i="8"/>
  <c r="Q47" i="8"/>
  <c r="J34" i="8"/>
  <c r="W34" i="8"/>
  <c r="AH42" i="8"/>
  <c r="D15" i="9"/>
  <c r="L17" i="6"/>
  <c r="AF24" i="8"/>
  <c r="AH26" i="8"/>
  <c r="Q12" i="8"/>
  <c r="F45" i="8"/>
  <c r="L26" i="8"/>
  <c r="Y29" i="9"/>
  <c r="W42" i="9"/>
  <c r="L16" i="8"/>
  <c r="T41" i="8"/>
  <c r="J39" i="9"/>
  <c r="Y23" i="8"/>
  <c r="AH46" i="8"/>
  <c r="E44" i="8"/>
  <c r="AB27" i="9"/>
  <c r="AF31" i="8"/>
  <c r="H10" i="8"/>
  <c r="Q9" i="8"/>
  <c r="D40" i="9"/>
  <c r="W25" i="8"/>
  <c r="D28" i="8"/>
  <c r="W12" i="9"/>
  <c r="T9" i="8"/>
  <c r="AC44" i="8"/>
  <c r="AC35" i="8"/>
  <c r="AF24" i="9"/>
  <c r="W20" i="9"/>
  <c r="AD30" i="8"/>
  <c r="N46" i="8"/>
  <c r="G25" i="8"/>
  <c r="J26" i="9"/>
  <c r="AB28" i="9"/>
  <c r="AD42" i="8"/>
  <c r="P47" i="9"/>
  <c r="G26" i="8"/>
  <c r="I30" i="9"/>
  <c r="D38" i="8"/>
  <c r="AD21" i="9"/>
  <c r="C41" i="9"/>
  <c r="M15" i="6"/>
  <c r="L9" i="8"/>
  <c r="X17" i="8"/>
  <c r="M18" i="9"/>
  <c r="AB27" i="8"/>
  <c r="AH33" i="8"/>
  <c r="AG41" i="8"/>
  <c r="I13" i="9"/>
  <c r="J15" i="6"/>
  <c r="Q22" i="8"/>
  <c r="AB35" i="8"/>
  <c r="AC20" i="8"/>
  <c r="Y24" i="9"/>
  <c r="AG18" i="9"/>
  <c r="F38" i="9"/>
  <c r="AC41" i="8"/>
  <c r="J32" i="9"/>
  <c r="P11" i="9"/>
  <c r="F9" i="6"/>
  <c r="M12" i="8"/>
  <c r="F15" i="6"/>
  <c r="AD47" i="9"/>
  <c r="AA44" i="8"/>
  <c r="F22" i="8"/>
  <c r="Z10" i="9"/>
  <c r="D13" i="6"/>
  <c r="AC31" i="8"/>
  <c r="E8" i="6"/>
  <c r="AG24" i="9"/>
  <c r="AC43" i="9"/>
  <c r="AD33" i="8"/>
  <c r="G42" i="9"/>
  <c r="Q21" i="8"/>
  <c r="W35" i="8"/>
  <c r="C44" i="8"/>
  <c r="AE41" i="8"/>
  <c r="V47" i="8"/>
  <c r="AE43" i="8"/>
  <c r="AA15" i="8"/>
  <c r="F39" i="8"/>
  <c r="W15" i="9"/>
  <c r="AC14" i="9"/>
  <c r="L33" i="8"/>
  <c r="D24" i="9"/>
  <c r="D17" i="9"/>
  <c r="C45" i="8"/>
  <c r="X16" i="9"/>
  <c r="J41" i="8"/>
  <c r="AB26" i="8"/>
  <c r="H41" i="8"/>
  <c r="L35" i="9"/>
  <c r="AF19" i="8"/>
  <c r="AF46" i="8"/>
  <c r="I13" i="8"/>
  <c r="AG43" i="8"/>
  <c r="D43" i="8"/>
  <c r="AE31" i="8"/>
  <c r="W26" i="9"/>
  <c r="G38" i="8"/>
  <c r="U14" i="9"/>
  <c r="I38" i="9"/>
  <c r="E12" i="8"/>
  <c r="V11" i="9"/>
  <c r="U44" i="8"/>
  <c r="AC18" i="8"/>
  <c r="AA46" i="9"/>
  <c r="K9" i="6"/>
  <c r="V32" i="8"/>
  <c r="N22" i="8"/>
  <c r="AF34" i="8"/>
  <c r="O34" i="8"/>
  <c r="I33" i="8"/>
  <c r="I40" i="9"/>
  <c r="X40" i="9"/>
  <c r="AB42" i="9"/>
  <c r="E20" i="9"/>
  <c r="E14" i="6"/>
  <c r="X23" i="9"/>
  <c r="AH20" i="8"/>
  <c r="M28" i="8"/>
  <c r="L8" i="6"/>
  <c r="F10" i="9"/>
  <c r="P39" i="9"/>
  <c r="AA30" i="9"/>
  <c r="I13" i="6"/>
  <c r="Y13" i="8"/>
  <c r="C32" i="8"/>
  <c r="M31" i="9"/>
  <c r="Z45" i="9"/>
  <c r="O32" i="8"/>
  <c r="C42" i="8"/>
  <c r="F34" i="9"/>
  <c r="V27" i="8"/>
  <c r="W38" i="9"/>
  <c r="N23" i="9"/>
  <c r="I10" i="8"/>
  <c r="O12" i="9"/>
  <c r="AE46" i="9"/>
  <c r="AA13" i="9"/>
  <c r="U40" i="9"/>
  <c r="AE40" i="9"/>
  <c r="Z36" i="8"/>
  <c r="U18" i="8"/>
  <c r="N46" i="9"/>
  <c r="AC37" i="8"/>
  <c r="H23" i="8"/>
  <c r="AA21" i="9"/>
  <c r="I12" i="12"/>
  <c r="P16" i="8"/>
  <c r="U11" i="8"/>
  <c r="AH24" i="9"/>
  <c r="F14" i="6"/>
  <c r="H20" i="9"/>
  <c r="AE26" i="8"/>
  <c r="AD15" i="8"/>
  <c r="D10" i="6"/>
  <c r="C39" i="8"/>
  <c r="AA35" i="8"/>
  <c r="Y12" i="9"/>
  <c r="AD30" i="9"/>
  <c r="I10" i="12"/>
  <c r="P12" i="8"/>
  <c r="AH32" i="8"/>
  <c r="H30" i="8"/>
  <c r="O8" i="8"/>
  <c r="C43" i="8"/>
  <c r="Z9" i="8"/>
  <c r="D20" i="9"/>
  <c r="U11" i="9"/>
  <c r="Z9" i="9"/>
  <c r="E40" i="8"/>
  <c r="X32" i="8"/>
  <c r="W30" i="9"/>
  <c r="Y10" i="8"/>
  <c r="Q33" i="9"/>
  <c r="P31" i="8"/>
  <c r="AF42" i="9"/>
  <c r="J18" i="8"/>
  <c r="C18" i="9"/>
  <c r="J10" i="8"/>
  <c r="D19" i="9"/>
  <c r="E38" i="9"/>
  <c r="AA40" i="9"/>
  <c r="E16" i="8"/>
  <c r="I31" i="8"/>
  <c r="E27" i="9"/>
  <c r="K10" i="9"/>
  <c r="E26" i="9"/>
  <c r="X34" i="9"/>
  <c r="H40" i="9"/>
  <c r="F47" i="9"/>
  <c r="AE33" i="9"/>
  <c r="F20" i="8"/>
  <c r="T16" i="8"/>
  <c r="F14" i="9"/>
  <c r="M29" i="8"/>
  <c r="AB16" i="9"/>
  <c r="Y23" i="9"/>
  <c r="Q26" i="8"/>
  <c r="J38" i="9"/>
  <c r="X40" i="8"/>
  <c r="K10" i="8"/>
  <c r="U38" i="9"/>
  <c r="AE31" i="9"/>
  <c r="AD41" i="8"/>
  <c r="K32" i="9"/>
  <c r="AE35" i="8"/>
  <c r="G47" i="8"/>
  <c r="C31" i="9"/>
  <c r="J12" i="6"/>
  <c r="O21" i="8"/>
  <c r="P18" i="8"/>
  <c r="E43" i="8"/>
  <c r="Y13" i="9"/>
  <c r="F10" i="8"/>
  <c r="I41" i="8"/>
  <c r="X25" i="8"/>
  <c r="F30" i="8"/>
  <c r="C35" i="9"/>
  <c r="Z43" i="8"/>
  <c r="D22" i="8"/>
  <c r="V26" i="9"/>
  <c r="H24" i="9"/>
  <c r="N15" i="9"/>
  <c r="H16" i="6"/>
  <c r="G16" i="6"/>
  <c r="AA20" i="8"/>
  <c r="U15" i="9"/>
  <c r="G12" i="8"/>
  <c r="AA40" i="8"/>
  <c r="Q42" i="9"/>
  <c r="I42" i="9"/>
  <c r="AB25" i="9"/>
  <c r="P11" i="8"/>
  <c r="AC29" i="9"/>
  <c r="AA23" i="8"/>
  <c r="H10" i="6"/>
  <c r="D43" i="9"/>
  <c r="L44" i="8"/>
  <c r="AE41" i="9"/>
  <c r="U45" i="8"/>
  <c r="U13" i="8"/>
  <c r="P10" i="9"/>
  <c r="G21" i="8"/>
  <c r="J27" i="8"/>
  <c r="AE14" i="8"/>
  <c r="F33" i="9"/>
  <c r="Q34" i="8"/>
  <c r="N11" i="6"/>
  <c r="T44" i="9"/>
  <c r="Q11" i="8"/>
  <c r="D8" i="8"/>
  <c r="I15" i="9"/>
  <c r="G15" i="9"/>
  <c r="G9" i="9"/>
  <c r="N34" i="9"/>
  <c r="Z37" i="8"/>
  <c r="Q22" i="9"/>
  <c r="J8" i="6"/>
  <c r="C11" i="6"/>
  <c r="AD35" i="9"/>
  <c r="J25" i="9"/>
  <c r="AA47" i="8"/>
  <c r="AF16" i="9"/>
  <c r="E41" i="8"/>
  <c r="AD44" i="9"/>
  <c r="D15" i="7"/>
  <c r="I13" i="12"/>
  <c r="H13" i="12"/>
  <c r="C15" i="7"/>
  <c r="J14" i="7"/>
  <c r="H27" i="6"/>
  <c r="T13" i="5"/>
  <c r="L28" i="6"/>
  <c r="M26" i="6"/>
  <c r="G32" i="6"/>
  <c r="J16" i="7"/>
  <c r="P16" i="7"/>
  <c r="P9" i="7"/>
  <c r="I11" i="7"/>
  <c r="H28" i="6"/>
  <c r="T9" i="5"/>
  <c r="E23" i="6"/>
  <c r="K10" i="7"/>
  <c r="T7" i="5"/>
  <c r="M31" i="6"/>
  <c r="I27" i="6"/>
  <c r="J27" i="6"/>
  <c r="D23" i="6"/>
  <c r="P14" i="7"/>
  <c r="T14" i="5"/>
  <c r="H23" i="6"/>
  <c r="C25" i="6"/>
  <c r="K28" i="6"/>
  <c r="C27" i="6"/>
  <c r="C23" i="6"/>
  <c r="T5" i="5"/>
  <c r="F25" i="6"/>
  <c r="C26" i="6"/>
  <c r="D29" i="6"/>
  <c r="F32" i="6"/>
  <c r="N33" i="6"/>
  <c r="E28" i="6"/>
  <c r="M29" i="6"/>
  <c r="J9" i="7"/>
  <c r="F24" i="6"/>
  <c r="K15" i="7"/>
  <c r="J25" i="6"/>
  <c r="T8" i="5"/>
  <c r="P13" i="7"/>
  <c r="N31" i="6"/>
  <c r="O12" i="7"/>
  <c r="D33" i="6"/>
  <c r="G29" i="6"/>
  <c r="T10" i="5"/>
  <c r="P12" i="7"/>
  <c r="T16" i="5"/>
  <c r="G30" i="6"/>
  <c r="I14" i="7"/>
  <c r="H25" i="6"/>
  <c r="J23" i="6"/>
  <c r="I30" i="6"/>
  <c r="I15" i="7"/>
  <c r="T2" i="5"/>
  <c r="I23" i="6"/>
  <c r="T4" i="5"/>
  <c r="G25" i="6"/>
  <c r="G28" i="6"/>
  <c r="C32" i="6"/>
  <c r="F28" i="6"/>
  <c r="L29" i="6"/>
  <c r="J24" i="6"/>
  <c r="K9" i="7"/>
  <c r="J10" i="7"/>
  <c r="O11" i="7"/>
  <c r="I25" i="6"/>
  <c r="I12" i="7"/>
  <c r="J13" i="7"/>
  <c r="K13" i="7"/>
  <c r="O13" i="7"/>
  <c r="I10" i="7"/>
  <c r="H29" i="6"/>
  <c r="O14" i="7"/>
  <c r="J11" i="7"/>
  <c r="D27" i="6"/>
  <c r="G27" i="6"/>
  <c r="J30" i="6"/>
  <c r="H31" i="6"/>
  <c r="O15" i="7"/>
  <c r="J29" i="6"/>
  <c r="N30" i="6"/>
  <c r="M32" i="6"/>
  <c r="N28" i="6"/>
  <c r="K29" i="6"/>
  <c r="E25" i="6"/>
  <c r="E26" i="6"/>
  <c r="T12" i="5"/>
  <c r="G33" i="6"/>
  <c r="T11" i="5"/>
  <c r="E27" i="6"/>
  <c r="J32" i="6"/>
  <c r="H30" i="6"/>
  <c r="T15" i="5"/>
  <c r="E33" i="6"/>
  <c r="N29" i="6"/>
  <c r="O16" i="7"/>
  <c r="E24" i="6"/>
  <c r="K31" i="6"/>
  <c r="F31" i="6"/>
  <c r="I9" i="7"/>
  <c r="J12" i="7"/>
  <c r="D30" i="6"/>
  <c r="K11" i="7"/>
  <c r="K12" i="7"/>
  <c r="N24" i="6"/>
  <c r="L30" i="6"/>
  <c r="C29" i="6"/>
  <c r="G26" i="6"/>
  <c r="T17" i="5"/>
  <c r="E32" i="6"/>
  <c r="H32" i="6"/>
  <c r="T3" i="5"/>
  <c r="M33" i="6"/>
  <c r="L32" i="6"/>
  <c r="K30" i="6"/>
  <c r="F23" i="6"/>
  <c r="L31" i="6"/>
  <c r="J31" i="6"/>
  <c r="I26" i="6"/>
  <c r="I32" i="6"/>
  <c r="T6" i="5"/>
  <c r="P10" i="7"/>
  <c r="L24" i="6"/>
  <c r="J28" i="6"/>
  <c r="K16" i="7"/>
  <c r="P15" i="7"/>
  <c r="P11" i="7"/>
  <c r="K26" i="6"/>
  <c r="H26" i="6"/>
  <c r="N27" i="6"/>
  <c r="O10" i="7"/>
  <c r="D25" i="6"/>
  <c r="I33" i="6"/>
  <c r="K33" i="6"/>
  <c r="K24" i="6"/>
  <c r="F30" i="6"/>
  <c r="D31" i="6"/>
  <c r="O9" i="7"/>
  <c r="J15" i="7"/>
  <c r="J33" i="6"/>
  <c r="I28" i="6"/>
  <c r="I13" i="7"/>
  <c r="K14" i="7"/>
  <c r="D24" i="6"/>
  <c r="I31" i="6"/>
  <c r="I24" i="6"/>
  <c r="F27" i="6"/>
  <c r="N25" i="6"/>
  <c r="K23" i="1"/>
  <c r="K29" i="1"/>
  <c r="U2" i="5"/>
  <c r="K28" i="1"/>
  <c r="AF67" i="1"/>
  <c r="W54" i="1"/>
  <c r="AI40" i="1"/>
  <c r="AD58" i="1"/>
  <c r="V45" i="1"/>
  <c r="AH65" i="1"/>
  <c r="Y52" i="1"/>
  <c r="AG45" i="1"/>
  <c r="AJ52" i="1"/>
  <c r="AH52" i="1"/>
  <c r="AC65" i="1"/>
  <c r="AF54" i="1"/>
  <c r="AG65" i="1"/>
  <c r="AI58" i="1"/>
  <c r="AB54" i="1"/>
  <c r="AH67" i="1"/>
  <c r="X54" i="1"/>
  <c r="O45" i="1"/>
  <c r="AE65" i="1"/>
  <c r="S52" i="1"/>
  <c r="AB67" i="1"/>
  <c r="AF52" i="1"/>
  <c r="AF45" i="1"/>
  <c r="AF23" i="1"/>
  <c r="AD45" i="1"/>
  <c r="AC58" i="1"/>
  <c r="AE54" i="1"/>
  <c r="S54" i="1"/>
  <c r="U45" i="1"/>
  <c r="AJ65" i="1"/>
  <c r="T54" i="1"/>
  <c r="AD67" i="1"/>
  <c r="O52" i="1"/>
  <c r="AB52" i="1"/>
  <c r="W52" i="1"/>
  <c r="AE52" i="1"/>
  <c r="AG52" i="1"/>
  <c r="U54" i="1"/>
  <c r="AD39" i="1"/>
  <c r="AF65" i="1"/>
  <c r="U52" i="1"/>
  <c r="AD34" i="1"/>
  <c r="P52" i="1"/>
  <c r="AI52" i="1"/>
  <c r="AB58" i="1"/>
  <c r="AF58" i="1"/>
  <c r="AI39" i="1"/>
  <c r="AD40" i="1"/>
  <c r="R52" i="1"/>
  <c r="AH45" i="1"/>
  <c r="Y54" i="1"/>
  <c r="AH54" i="1"/>
  <c r="AE40" i="1"/>
  <c r="Q45" i="1"/>
  <c r="AI23" i="1"/>
  <c r="AD65" i="1"/>
  <c r="P54" i="1"/>
  <c r="O54" i="1"/>
  <c r="AI28" i="1"/>
  <c r="AI34" i="1"/>
  <c r="AI67" i="1"/>
  <c r="AE45" i="1"/>
  <c r="AG54" i="1"/>
  <c r="AI29" i="1"/>
  <c r="AE34" i="1"/>
  <c r="AC67" i="1"/>
  <c r="X52" i="1"/>
  <c r="R54" i="1"/>
  <c r="AH58" i="1"/>
  <c r="Y45" i="1"/>
  <c r="AJ54" i="1"/>
  <c r="T45" i="1"/>
  <c r="AJ67" i="1"/>
  <c r="AE39" i="1"/>
  <c r="AB65" i="1"/>
  <c r="AE67" i="1"/>
  <c r="AJ45" i="1"/>
  <c r="Q52" i="1"/>
  <c r="AG67" i="1"/>
  <c r="AC54" i="1"/>
  <c r="AJ58" i="1"/>
  <c r="T52" i="1"/>
  <c r="AD52" i="1"/>
  <c r="AG58" i="1"/>
  <c r="AD54" i="1"/>
  <c r="AE58" i="1"/>
  <c r="AI54" i="1"/>
  <c r="AI65" i="1"/>
  <c r="W45" i="1"/>
  <c r="V52" i="1"/>
  <c r="AC52" i="1"/>
  <c r="Q54" i="1"/>
  <c r="E37" i="11" l="1"/>
  <c r="AA21" i="11"/>
  <c r="AH18" i="11"/>
  <c r="AE30" i="11"/>
  <c r="X5" i="11"/>
  <c r="X11" i="11"/>
  <c r="Z11" i="11"/>
  <c r="D4" i="11"/>
  <c r="Q7" i="11"/>
  <c r="Q30" i="11"/>
  <c r="W29" i="11"/>
  <c r="J23" i="11"/>
  <c r="G17" i="11"/>
  <c r="AG6" i="11"/>
  <c r="L40" i="11"/>
  <c r="U39" i="11"/>
  <c r="P7" i="11"/>
  <c r="Z38" i="11"/>
  <c r="AH38" i="11"/>
  <c r="G8" i="11"/>
  <c r="AE11" i="11"/>
  <c r="Y20" i="11"/>
  <c r="D18" i="11"/>
  <c r="T31" i="11"/>
  <c r="F26" i="11"/>
  <c r="I37" i="11"/>
  <c r="F6" i="11"/>
  <c r="E39" i="11"/>
  <c r="P14" i="11"/>
  <c r="O17" i="11"/>
  <c r="T27" i="11"/>
  <c r="G43" i="11"/>
  <c r="AB28" i="11"/>
  <c r="K6" i="11"/>
  <c r="AA34" i="11"/>
  <c r="Q22" i="11"/>
  <c r="M25" i="11"/>
  <c r="W10" i="11"/>
  <c r="F16" i="11"/>
  <c r="W43" i="11"/>
  <c r="Y36" i="11"/>
  <c r="V22" i="11"/>
  <c r="AB6" i="11"/>
  <c r="V23" i="11"/>
  <c r="I27" i="11"/>
  <c r="E12" i="11"/>
  <c r="V34" i="11"/>
  <c r="U15" i="11"/>
  <c r="J6" i="11"/>
  <c r="T14" i="11"/>
  <c r="J14" i="11"/>
  <c r="P27" i="11"/>
  <c r="AH29" i="11"/>
  <c r="E36" i="11"/>
  <c r="U16" i="11"/>
  <c r="C39" i="11"/>
  <c r="O4" i="11"/>
  <c r="H26" i="11"/>
  <c r="P8" i="11"/>
  <c r="J10" i="12"/>
  <c r="C35" i="11"/>
  <c r="Y16" i="11"/>
  <c r="P12" i="11"/>
  <c r="J12" i="12"/>
  <c r="H19" i="11"/>
  <c r="AE42" i="11"/>
  <c r="AF8" i="11"/>
  <c r="I6" i="11"/>
  <c r="AE19" i="11"/>
  <c r="W30" i="11"/>
  <c r="C38" i="11"/>
  <c r="O28" i="11"/>
  <c r="AD27" i="11"/>
  <c r="C28" i="11"/>
  <c r="AG35" i="11"/>
  <c r="W6" i="11"/>
  <c r="M24" i="11"/>
  <c r="V16" i="11"/>
  <c r="Z36" i="11"/>
  <c r="I29" i="11"/>
  <c r="O30" i="11"/>
  <c r="N18" i="11"/>
  <c r="E8" i="11"/>
  <c r="Z34" i="11"/>
  <c r="G34" i="11"/>
  <c r="D39" i="11"/>
  <c r="I9" i="11"/>
  <c r="AC31" i="11"/>
  <c r="H37" i="11"/>
  <c r="J37" i="11"/>
  <c r="C41" i="11"/>
  <c r="U13" i="11"/>
  <c r="U20" i="11"/>
  <c r="L29" i="11"/>
  <c r="F35" i="11"/>
  <c r="C40" i="11"/>
  <c r="Q17" i="11"/>
  <c r="X38" i="11"/>
  <c r="F18" i="11"/>
  <c r="M8" i="11"/>
  <c r="AG7" i="11"/>
  <c r="AA28" i="11"/>
  <c r="W34" i="11"/>
  <c r="Q18" i="11"/>
  <c r="Z9" i="11"/>
  <c r="AD14" i="11"/>
  <c r="L5" i="11"/>
  <c r="T37" i="11"/>
  <c r="D34" i="11"/>
  <c r="Z26" i="11"/>
  <c r="G22" i="11"/>
  <c r="AG43" i="11"/>
  <c r="AA22" i="11"/>
  <c r="G21" i="11"/>
  <c r="N42" i="11"/>
  <c r="D24" i="11"/>
  <c r="U36" i="11"/>
  <c r="Q5" i="11"/>
  <c r="H6" i="11"/>
  <c r="E40" i="11"/>
  <c r="AA35" i="11"/>
  <c r="L12" i="11"/>
  <c r="L22" i="11"/>
  <c r="F41" i="11"/>
  <c r="Q8" i="11"/>
  <c r="U11" i="11"/>
  <c r="J30" i="11"/>
  <c r="Q43" i="11"/>
  <c r="X33" i="11"/>
  <c r="P10" i="11"/>
  <c r="W33" i="11"/>
  <c r="AH11" i="11"/>
  <c r="AD24" i="11"/>
  <c r="G14" i="11"/>
  <c r="E11" i="11"/>
  <c r="AH33" i="11"/>
  <c r="X13" i="11"/>
  <c r="C43" i="11"/>
  <c r="I11" i="11"/>
  <c r="AH23" i="11"/>
  <c r="T21" i="11"/>
  <c r="D6" i="11"/>
  <c r="AD19" i="11"/>
  <c r="D38" i="11"/>
  <c r="V37" i="11"/>
  <c r="M41" i="11"/>
  <c r="I17" i="11"/>
  <c r="C42" i="11"/>
  <c r="E24" i="11"/>
  <c r="I16" i="11"/>
  <c r="D12" i="11"/>
  <c r="H32" i="11"/>
  <c r="D29" i="11"/>
  <c r="F7" i="11"/>
  <c r="U9" i="11"/>
  <c r="J10" i="11"/>
  <c r="V38" i="11"/>
  <c r="X8" i="11"/>
  <c r="I20" i="11"/>
  <c r="AC39" i="11"/>
  <c r="Q39" i="11"/>
  <c r="D26" i="11"/>
  <c r="AD6" i="11"/>
  <c r="L36" i="11"/>
  <c r="AF28" i="11"/>
  <c r="D13" i="11"/>
  <c r="AC12" i="11"/>
  <c r="U19" i="11"/>
  <c r="U29" i="11"/>
  <c r="AG29" i="11"/>
  <c r="H35" i="11"/>
  <c r="X6" i="11"/>
  <c r="AC4" i="11"/>
  <c r="F29" i="11"/>
  <c r="W17" i="11"/>
  <c r="M14" i="11"/>
  <c r="J27" i="11"/>
  <c r="AH34" i="11"/>
  <c r="X10" i="11"/>
  <c r="E17" i="11"/>
  <c r="C26" i="11"/>
  <c r="N31" i="11"/>
  <c r="Y11" i="11"/>
  <c r="AC16" i="11"/>
  <c r="P39" i="11"/>
  <c r="G20" i="11"/>
  <c r="V17" i="11"/>
  <c r="P34" i="11"/>
  <c r="E31" i="11"/>
  <c r="AF19" i="11"/>
  <c r="Y26" i="11"/>
  <c r="W4" i="11"/>
  <c r="L8" i="11"/>
  <c r="AA32" i="11"/>
  <c r="Q32" i="11"/>
  <c r="N12" i="11"/>
  <c r="W18" i="11"/>
  <c r="E22" i="11"/>
  <c r="AC23" i="11"/>
  <c r="X28" i="11"/>
  <c r="H39" i="11"/>
  <c r="F20" i="11"/>
  <c r="I43" i="11"/>
  <c r="Q27" i="11"/>
  <c r="AH28" i="11"/>
  <c r="D17" i="11"/>
  <c r="M17" i="11"/>
  <c r="F8" i="11"/>
  <c r="T39" i="11"/>
  <c r="C13" i="11"/>
  <c r="AC35" i="11"/>
  <c r="H36" i="11"/>
  <c r="P13" i="11"/>
  <c r="Q35" i="11"/>
  <c r="AF13" i="11"/>
  <c r="I26" i="11"/>
  <c r="AH5" i="11"/>
  <c r="AC32" i="11"/>
  <c r="N8" i="11"/>
  <c r="P17" i="11"/>
  <c r="AE15" i="11"/>
  <c r="AF26" i="11"/>
  <c r="L33" i="11"/>
  <c r="K27" i="11"/>
  <c r="F4" i="11"/>
  <c r="W19" i="11"/>
  <c r="AE28" i="11"/>
  <c r="K21" i="11"/>
  <c r="D20" i="11"/>
  <c r="AE36" i="11"/>
  <c r="H41" i="11"/>
  <c r="J25" i="11"/>
  <c r="AA14" i="11"/>
  <c r="Y34" i="11"/>
  <c r="W27" i="11"/>
  <c r="AC20" i="11"/>
  <c r="AC14" i="11"/>
  <c r="G6" i="11"/>
  <c r="AG18" i="11"/>
  <c r="M27" i="11"/>
  <c r="Y22" i="11"/>
  <c r="AG33" i="11"/>
  <c r="M29" i="11"/>
  <c r="V6" i="11"/>
  <c r="V32" i="11"/>
  <c r="E7" i="11"/>
  <c r="V42" i="11"/>
  <c r="AB37" i="11"/>
  <c r="N39" i="11"/>
  <c r="AB22" i="11"/>
  <c r="V18" i="11"/>
  <c r="O20" i="11"/>
  <c r="W37" i="11"/>
  <c r="Z20" i="11"/>
  <c r="L6" i="11"/>
  <c r="Z32" i="11"/>
  <c r="AD23" i="11"/>
  <c r="G4" i="11"/>
  <c r="L18" i="11"/>
  <c r="Q26" i="11"/>
  <c r="AB12" i="11"/>
  <c r="U10" i="11"/>
  <c r="K36" i="11"/>
  <c r="AE27" i="11"/>
  <c r="M15" i="11"/>
  <c r="AE17" i="11"/>
  <c r="O26" i="11"/>
  <c r="Q25" i="11"/>
  <c r="AD34" i="11"/>
  <c r="P21" i="11"/>
  <c r="P32" i="11"/>
  <c r="P43" i="11"/>
  <c r="G28" i="11"/>
  <c r="O33" i="11"/>
  <c r="T25" i="11"/>
  <c r="I41" i="11"/>
  <c r="O32" i="11"/>
  <c r="Z18" i="11"/>
  <c r="U7" i="11"/>
  <c r="D19" i="11"/>
  <c r="X24" i="11"/>
  <c r="AA42" i="11"/>
  <c r="Q11" i="11"/>
  <c r="V27" i="11"/>
  <c r="T23" i="11"/>
  <c r="G27" i="11"/>
  <c r="N23" i="11"/>
  <c r="AF9" i="11"/>
  <c r="G40" i="11"/>
  <c r="AF14" i="11"/>
  <c r="E27" i="11"/>
  <c r="AA25" i="11"/>
  <c r="U12" i="11"/>
  <c r="I39" i="11"/>
  <c r="U23" i="11"/>
  <c r="D33" i="11"/>
  <c r="P41" i="11"/>
  <c r="AE10" i="11"/>
  <c r="C6" i="11"/>
  <c r="L23" i="11"/>
  <c r="E26" i="11"/>
  <c r="Q19" i="11"/>
  <c r="W25" i="11"/>
  <c r="N20" i="11"/>
  <c r="G19" i="11"/>
  <c r="AF36" i="11"/>
  <c r="H17" i="11"/>
  <c r="U33" i="11"/>
  <c r="I31" i="11"/>
  <c r="K33" i="11"/>
  <c r="AF42" i="11"/>
  <c r="M18" i="11"/>
  <c r="AB19" i="11"/>
  <c r="Y7" i="11"/>
  <c r="AC7" i="11"/>
  <c r="AH36" i="11"/>
  <c r="F40" i="11"/>
  <c r="AD42" i="11"/>
  <c r="V41" i="11"/>
  <c r="L37" i="11"/>
  <c r="P40" i="11"/>
  <c r="J24" i="11"/>
  <c r="T34" i="11"/>
  <c r="Y18" i="11"/>
  <c r="AB7" i="11"/>
  <c r="AB43" i="11"/>
  <c r="I8" i="11"/>
  <c r="L38" i="11"/>
  <c r="J8" i="11"/>
  <c r="Y5" i="11"/>
  <c r="F30" i="11"/>
  <c r="AG5" i="11"/>
  <c r="AC24" i="11"/>
  <c r="N24" i="11"/>
  <c r="AA33" i="11"/>
  <c r="AE20" i="11"/>
  <c r="J34" i="11"/>
  <c r="J26" i="11"/>
  <c r="D22" i="11"/>
  <c r="K17" i="11"/>
  <c r="J31" i="11"/>
  <c r="AA37" i="11"/>
  <c r="M40" i="11"/>
  <c r="AB32" i="11"/>
  <c r="L24" i="11"/>
  <c r="L21" i="11"/>
  <c r="E21" i="11"/>
  <c r="F28" i="11"/>
  <c r="M5" i="11"/>
  <c r="F33" i="11"/>
  <c r="Z21" i="11"/>
  <c r="AG4" i="11"/>
  <c r="J39" i="11"/>
  <c r="P26" i="11"/>
  <c r="AH20" i="11"/>
  <c r="Z28" i="11"/>
  <c r="C31" i="11"/>
  <c r="V4" i="11"/>
  <c r="T17" i="11"/>
  <c r="K10" i="11"/>
  <c r="T8" i="11"/>
  <c r="F24" i="11"/>
  <c r="AC27" i="11"/>
  <c r="H23" i="11"/>
  <c r="P33" i="11"/>
  <c r="AH43" i="11"/>
  <c r="AB14" i="11"/>
  <c r="AH16" i="11"/>
  <c r="D11" i="11"/>
  <c r="AD22" i="11"/>
  <c r="C23" i="11"/>
  <c r="K30" i="11"/>
  <c r="AE26" i="11"/>
  <c r="AB42" i="11"/>
  <c r="O16" i="11"/>
  <c r="O35" i="11"/>
  <c r="AF15" i="11"/>
  <c r="X22" i="11"/>
  <c r="T19" i="11"/>
  <c r="G36" i="11"/>
  <c r="Y39" i="11"/>
  <c r="X18" i="11"/>
  <c r="Y23" i="11"/>
  <c r="AA13" i="11"/>
  <c r="Q9" i="11"/>
  <c r="Y14" i="11"/>
  <c r="Y35" i="11"/>
  <c r="V26" i="11"/>
  <c r="L7" i="11"/>
  <c r="L39" i="11"/>
  <c r="K28" i="11"/>
  <c r="AA31" i="11"/>
  <c r="X36" i="11"/>
  <c r="Z30" i="11"/>
  <c r="AG10" i="11"/>
  <c r="AE16" i="11"/>
  <c r="F14" i="11"/>
  <c r="U26" i="11"/>
  <c r="L27" i="11"/>
  <c r="AE13" i="11"/>
  <c r="Q40" i="11"/>
  <c r="E33" i="11"/>
  <c r="G9" i="11"/>
  <c r="AD15" i="11"/>
  <c r="J9" i="12"/>
  <c r="M9" i="12" s="1"/>
  <c r="I23" i="12" s="1"/>
  <c r="R9" i="12" s="1"/>
  <c r="N10" i="11"/>
  <c r="H11" i="11"/>
  <c r="AF12" i="11"/>
  <c r="C27" i="11"/>
  <c r="W14" i="11"/>
  <c r="I34" i="11"/>
  <c r="I19" i="11"/>
  <c r="AG30" i="11"/>
  <c r="U28" i="11"/>
  <c r="T32" i="11"/>
  <c r="G30" i="11"/>
  <c r="M20" i="11"/>
  <c r="M7" i="11"/>
  <c r="AD20" i="11"/>
  <c r="L42" i="11"/>
  <c r="C15" i="11"/>
  <c r="M26" i="11"/>
  <c r="W24" i="11"/>
  <c r="O22" i="11"/>
  <c r="AB30" i="11"/>
  <c r="M34" i="11"/>
  <c r="AD37" i="11"/>
  <c r="H21" i="11"/>
  <c r="Z40" i="11"/>
  <c r="M23" i="11"/>
  <c r="O36" i="11"/>
  <c r="AE7" i="11"/>
  <c r="T26" i="11"/>
  <c r="P29" i="11"/>
  <c r="Q33" i="11"/>
  <c r="AE40" i="11"/>
  <c r="M42" i="11"/>
  <c r="O34" i="11"/>
  <c r="AA29" i="11"/>
  <c r="AG12" i="11"/>
  <c r="C7" i="11"/>
  <c r="D41" i="11"/>
  <c r="J18" i="12"/>
  <c r="H38" i="11"/>
  <c r="G18" i="11"/>
  <c r="T42" i="11"/>
  <c r="N11" i="11"/>
  <c r="T7" i="11"/>
  <c r="O7" i="11"/>
  <c r="X19" i="11"/>
  <c r="AB11" i="11"/>
  <c r="P18" i="11"/>
  <c r="T35" i="11"/>
  <c r="Y25" i="11"/>
  <c r="AC41" i="11"/>
  <c r="J43" i="11"/>
  <c r="AA17" i="11"/>
  <c r="K25" i="11"/>
  <c r="W13" i="11"/>
  <c r="H4" i="11"/>
  <c r="V10" i="11"/>
  <c r="Z24" i="11"/>
  <c r="T30" i="11"/>
  <c r="O37" i="11"/>
  <c r="V43" i="11"/>
  <c r="M19" i="11"/>
  <c r="V8" i="11"/>
  <c r="AA7" i="11"/>
  <c r="P30" i="11"/>
  <c r="I23" i="11"/>
  <c r="AF39" i="11"/>
  <c r="J11" i="11"/>
  <c r="D40" i="11"/>
  <c r="AB40" i="11"/>
  <c r="Y10" i="11"/>
  <c r="AB8" i="11"/>
  <c r="M37" i="11"/>
  <c r="E25" i="11"/>
  <c r="U5" i="11"/>
  <c r="D32" i="11"/>
  <c r="L17" i="11"/>
  <c r="AC37" i="11"/>
  <c r="V12" i="11"/>
  <c r="K43" i="11"/>
  <c r="H42" i="11"/>
  <c r="I42" i="11"/>
  <c r="AH14" i="11"/>
  <c r="I36" i="11"/>
  <c r="G10" i="11"/>
  <c r="O8" i="11"/>
  <c r="AA20" i="11"/>
  <c r="M4" i="11"/>
  <c r="Y32" i="11"/>
  <c r="M38" i="11"/>
  <c r="D25" i="11"/>
  <c r="O19" i="11"/>
  <c r="AH27" i="11"/>
  <c r="AB35" i="11"/>
  <c r="T4" i="11"/>
  <c r="O38" i="11"/>
  <c r="AH6" i="11"/>
  <c r="AH26" i="11"/>
  <c r="AD13" i="11"/>
  <c r="Y37" i="11"/>
  <c r="J32" i="11"/>
  <c r="AF43" i="11"/>
  <c r="Z4" i="11"/>
  <c r="N29" i="11"/>
  <c r="Y12" i="11"/>
  <c r="C17" i="11"/>
  <c r="AA10" i="11"/>
  <c r="AH13" i="11"/>
  <c r="N25" i="11"/>
  <c r="E30" i="11"/>
  <c r="F17" i="11"/>
  <c r="L31" i="11"/>
  <c r="J16" i="11"/>
  <c r="E15" i="11"/>
  <c r="AC21" i="11"/>
  <c r="I40" i="11"/>
  <c r="Q20" i="11"/>
  <c r="E19" i="11"/>
  <c r="U24" i="11"/>
  <c r="H22" i="11"/>
  <c r="X4" i="11"/>
  <c r="Q38" i="11"/>
  <c r="AB33" i="11"/>
  <c r="V30" i="11"/>
  <c r="AB4" i="11"/>
  <c r="E16" i="11"/>
  <c r="AH8" i="11"/>
  <c r="AB15" i="11"/>
  <c r="AD35" i="11"/>
  <c r="K29" i="11"/>
  <c r="V7" i="11"/>
  <c r="V39" i="11"/>
  <c r="K31" i="11"/>
  <c r="K34" i="11"/>
  <c r="N33" i="11"/>
  <c r="H18" i="11"/>
  <c r="N27" i="11"/>
  <c r="Y28" i="11"/>
  <c r="AB23" i="11"/>
  <c r="H10" i="11"/>
  <c r="AC10" i="11"/>
  <c r="AB18" i="11"/>
  <c r="AH42" i="11"/>
  <c r="T15" i="11"/>
  <c r="AD12" i="11"/>
  <c r="AH22" i="11"/>
  <c r="AA15" i="11"/>
  <c r="L26" i="11"/>
  <c r="AH41" i="11"/>
  <c r="AD31" i="11"/>
  <c r="AF34" i="11"/>
  <c r="P15" i="11"/>
  <c r="I4" i="11"/>
  <c r="G29" i="11"/>
  <c r="AC26" i="11"/>
  <c r="Y8" i="11"/>
  <c r="F13" i="11"/>
  <c r="K7" i="11"/>
  <c r="E5" i="11"/>
  <c r="N41" i="11"/>
  <c r="D36" i="11"/>
  <c r="W39" i="11"/>
  <c r="M16" i="11"/>
  <c r="N15" i="11"/>
  <c r="K12" i="11"/>
  <c r="AE18" i="11"/>
  <c r="W8" i="11"/>
  <c r="W15" i="11"/>
  <c r="N6" i="11"/>
  <c r="P4" i="11"/>
  <c r="AH10" i="11"/>
  <c r="P11" i="11"/>
  <c r="AC25" i="11"/>
  <c r="G41" i="11"/>
  <c r="AC34" i="11"/>
  <c r="X31" i="11"/>
  <c r="AG22" i="11"/>
  <c r="X21" i="11"/>
  <c r="G16" i="11"/>
  <c r="N37" i="11"/>
  <c r="Y17" i="11"/>
  <c r="I38" i="11"/>
  <c r="AH40" i="11"/>
  <c r="AF23" i="11"/>
  <c r="T6" i="11"/>
  <c r="J40" i="11"/>
  <c r="AE6" i="11"/>
  <c r="E14" i="11"/>
  <c r="H29" i="11"/>
  <c r="AH30" i="11"/>
  <c r="V13" i="11"/>
  <c r="E13" i="11"/>
  <c r="X34" i="11"/>
  <c r="AC9" i="11"/>
  <c r="P23" i="11"/>
  <c r="W11" i="11"/>
  <c r="K13" i="11"/>
  <c r="T12" i="11"/>
  <c r="N36" i="11"/>
  <c r="K16" i="12"/>
  <c r="E41" i="11"/>
  <c r="AF35" i="11"/>
  <c r="K4" i="11"/>
  <c r="V40" i="11"/>
  <c r="AH35" i="11"/>
  <c r="D8" i="11"/>
  <c r="AD10" i="11"/>
  <c r="C5" i="11"/>
  <c r="AE4" i="11"/>
  <c r="G11" i="11"/>
  <c r="M22" i="11"/>
  <c r="AH9" i="11"/>
  <c r="F42" i="11"/>
  <c r="AG15" i="11"/>
  <c r="AE14" i="11"/>
  <c r="AB20" i="11"/>
  <c r="AH24" i="11"/>
  <c r="D31" i="11"/>
  <c r="AB25" i="11"/>
  <c r="AG34" i="11"/>
  <c r="I5" i="11"/>
  <c r="F10" i="11"/>
  <c r="AD26" i="11"/>
  <c r="AC18" i="11"/>
  <c r="K18" i="11"/>
  <c r="AF31" i="11"/>
  <c r="X30" i="11"/>
  <c r="X35" i="11"/>
  <c r="K41" i="11"/>
  <c r="P16" i="11"/>
  <c r="W5" i="11"/>
  <c r="AG28" i="11"/>
  <c r="J5" i="11"/>
  <c r="O18" i="11"/>
  <c r="AH31" i="11"/>
  <c r="G12" i="11"/>
  <c r="Y43" i="11"/>
  <c r="AH17" i="11"/>
  <c r="F25" i="11"/>
  <c r="U14" i="11"/>
  <c r="M43" i="11"/>
  <c r="AG24" i="11"/>
  <c r="J13" i="11"/>
  <c r="W36" i="11"/>
  <c r="H20" i="11"/>
  <c r="AG39" i="11"/>
  <c r="G35" i="11"/>
  <c r="W12" i="11"/>
  <c r="AD11" i="11"/>
  <c r="G33" i="11"/>
  <c r="AF32" i="11"/>
  <c r="AC22" i="11"/>
  <c r="J21" i="11"/>
  <c r="Z37" i="11"/>
  <c r="E32" i="11"/>
  <c r="AD29" i="11"/>
  <c r="AH25" i="11"/>
  <c r="E29" i="11"/>
  <c r="AE39" i="11"/>
  <c r="Z42" i="11"/>
  <c r="F11" i="11"/>
  <c r="O13" i="11"/>
  <c r="AG19" i="11"/>
  <c r="AB26" i="11"/>
  <c r="P5" i="11"/>
  <c r="E38" i="11"/>
  <c r="K20" i="11"/>
  <c r="C34" i="11"/>
  <c r="F21" i="11"/>
  <c r="AD38" i="11"/>
  <c r="AB10" i="11"/>
  <c r="E18" i="11"/>
  <c r="F36" i="11"/>
  <c r="X14" i="11"/>
  <c r="I24" i="11"/>
  <c r="W40" i="11"/>
  <c r="L25" i="11"/>
  <c r="J12" i="11"/>
  <c r="AB39" i="11"/>
  <c r="N30" i="11"/>
  <c r="AF37" i="11"/>
  <c r="I12" i="11"/>
  <c r="U31" i="11"/>
  <c r="V19" i="11"/>
  <c r="AH19" i="11"/>
  <c r="Q21" i="11"/>
  <c r="AG37" i="11"/>
  <c r="Y6" i="11"/>
  <c r="G38" i="11"/>
  <c r="U8" i="11"/>
  <c r="W7" i="11"/>
  <c r="Y30" i="11"/>
  <c r="AG9" i="11"/>
  <c r="G26" i="11"/>
  <c r="L15" i="11"/>
  <c r="AA16" i="11"/>
  <c r="X29" i="11"/>
  <c r="J7" i="11"/>
  <c r="AC29" i="11"/>
  <c r="AC38" i="11"/>
  <c r="O29" i="11"/>
  <c r="C14" i="11"/>
  <c r="AA6" i="11"/>
  <c r="L28" i="11"/>
  <c r="AC43" i="11"/>
  <c r="Z7" i="11"/>
  <c r="L20" i="11"/>
  <c r="AG26" i="11"/>
  <c r="I21" i="11"/>
  <c r="AB24" i="11"/>
  <c r="AG8" i="11"/>
  <c r="C21" i="11"/>
  <c r="Z41" i="11"/>
  <c r="M13" i="11"/>
  <c r="U30" i="11"/>
  <c r="T28" i="11"/>
  <c r="AF22" i="11"/>
  <c r="O9" i="11"/>
  <c r="Z14" i="11"/>
  <c r="AA26" i="11"/>
  <c r="Z27" i="11"/>
  <c r="AF7" i="11"/>
  <c r="AE32" i="11"/>
  <c r="Y21" i="11"/>
  <c r="G25" i="11"/>
  <c r="M33" i="11"/>
  <c r="X20" i="11"/>
  <c r="Y24" i="11"/>
  <c r="D42" i="11"/>
  <c r="J35" i="11"/>
  <c r="E34" i="11"/>
  <c r="Q4" i="11"/>
  <c r="E10" i="11"/>
  <c r="AF33" i="11"/>
  <c r="P36" i="11"/>
  <c r="X40" i="11"/>
  <c r="AD30" i="11"/>
  <c r="J42" i="11"/>
  <c r="J19" i="11"/>
  <c r="AA38" i="11"/>
  <c r="AB29" i="11"/>
  <c r="AG40" i="11"/>
  <c r="I28" i="11"/>
  <c r="AG20" i="11"/>
  <c r="F39" i="11"/>
  <c r="W21" i="11"/>
  <c r="I15" i="11"/>
  <c r="AE33" i="11"/>
  <c r="AG13" i="11"/>
  <c r="W42" i="11"/>
  <c r="D15" i="11"/>
  <c r="D16" i="11"/>
  <c r="AH32" i="11"/>
  <c r="P28" i="11"/>
  <c r="W35" i="11"/>
  <c r="U43" i="11"/>
  <c r="N16" i="11"/>
  <c r="AD9" i="11"/>
  <c r="Z39" i="11"/>
  <c r="AD18" i="11"/>
  <c r="Q13" i="11"/>
  <c r="T36" i="11"/>
  <c r="AA40" i="11"/>
  <c r="J17" i="11"/>
  <c r="AF21" i="11"/>
  <c r="U25" i="11"/>
  <c r="M21" i="11"/>
  <c r="M28" i="11"/>
  <c r="U22" i="11"/>
  <c r="L16" i="11"/>
  <c r="AE31" i="11"/>
  <c r="AF17" i="11"/>
  <c r="Q28" i="11"/>
  <c r="AG11" i="11"/>
  <c r="F38" i="11"/>
  <c r="W22" i="11"/>
  <c r="E23" i="11"/>
  <c r="AG14" i="11"/>
  <c r="AE25" i="11"/>
  <c r="K26" i="11"/>
  <c r="V28" i="11"/>
  <c r="K19" i="11"/>
  <c r="AF5" i="11"/>
  <c r="AE37" i="11"/>
  <c r="J33" i="11"/>
  <c r="AD28" i="11"/>
  <c r="D23" i="11"/>
  <c r="L10" i="11"/>
  <c r="AH39" i="11"/>
  <c r="AA19" i="11"/>
  <c r="L35" i="11"/>
  <c r="AE35" i="11"/>
  <c r="AF4" i="11"/>
  <c r="Q16" i="11"/>
  <c r="AG41" i="11"/>
  <c r="U21" i="11"/>
  <c r="V20" i="11"/>
  <c r="AG25" i="11"/>
  <c r="Z19" i="11"/>
  <c r="AH7" i="11"/>
  <c r="P20" i="11"/>
  <c r="F5" i="11"/>
  <c r="AD43" i="11"/>
  <c r="C18" i="11"/>
  <c r="AA9" i="11"/>
  <c r="V11" i="11"/>
  <c r="P37" i="11"/>
  <c r="G5" i="11"/>
  <c r="AC8" i="11"/>
  <c r="AA39" i="11"/>
  <c r="H43" i="11"/>
  <c r="AG27" i="11"/>
  <c r="AC19" i="11"/>
  <c r="F9" i="11"/>
  <c r="Y19" i="11"/>
  <c r="G37" i="11"/>
  <c r="P19" i="11"/>
  <c r="Z33" i="11"/>
  <c r="AF10" i="11"/>
  <c r="H15" i="11"/>
  <c r="D27" i="11"/>
  <c r="AB36" i="11"/>
  <c r="P25" i="11"/>
  <c r="M32" i="11"/>
  <c r="AH12" i="11"/>
  <c r="AB31" i="11"/>
  <c r="H33" i="11"/>
  <c r="T22" i="11"/>
  <c r="Y13" i="11"/>
  <c r="I35" i="11"/>
  <c r="AE9" i="11"/>
  <c r="AG17" i="11"/>
  <c r="AC11" i="11"/>
  <c r="AE23" i="11"/>
  <c r="Q37" i="11"/>
  <c r="AD25" i="11"/>
  <c r="AD21" i="11"/>
  <c r="L14" i="11"/>
  <c r="H31" i="11"/>
  <c r="AA12" i="11"/>
  <c r="X43" i="11"/>
  <c r="G24" i="11"/>
  <c r="D9" i="11"/>
  <c r="AD5" i="11"/>
  <c r="U42" i="11"/>
  <c r="O6" i="11"/>
  <c r="L32" i="11"/>
  <c r="AC15" i="11"/>
  <c r="H40" i="11"/>
  <c r="O24" i="11"/>
  <c r="D10" i="11"/>
  <c r="J29" i="11"/>
  <c r="X42" i="11"/>
  <c r="Z23" i="11"/>
  <c r="AE22" i="11"/>
  <c r="AC28" i="11"/>
  <c r="AE43" i="11"/>
  <c r="Z25" i="11"/>
  <c r="E28" i="11"/>
  <c r="H28" i="11"/>
  <c r="C16" i="11"/>
  <c r="I30" i="11"/>
  <c r="AC17" i="11"/>
  <c r="G7" i="11"/>
  <c r="X32" i="11"/>
  <c r="Y41" i="11"/>
  <c r="C20" i="11"/>
  <c r="Z43" i="11"/>
  <c r="Q24" i="11"/>
  <c r="E20" i="11"/>
  <c r="F15" i="11"/>
  <c r="Z29" i="11"/>
  <c r="W28" i="11"/>
  <c r="F31" i="11"/>
  <c r="AF24" i="11"/>
  <c r="J16" i="12"/>
  <c r="H5" i="11"/>
  <c r="P35" i="11"/>
  <c r="Z6" i="11"/>
  <c r="Y27" i="11"/>
  <c r="L19" i="11"/>
  <c r="F23" i="11"/>
  <c r="Y4" i="11"/>
  <c r="Q14" i="11"/>
  <c r="K17" i="12"/>
  <c r="E4" i="11"/>
  <c r="AF30" i="11"/>
  <c r="AB41" i="11"/>
  <c r="P9" i="11"/>
  <c r="W26" i="11"/>
  <c r="Q10" i="11"/>
  <c r="X41" i="11"/>
  <c r="F32" i="11"/>
  <c r="AF40" i="11"/>
  <c r="N5" i="11"/>
  <c r="N14" i="11"/>
  <c r="H14" i="11"/>
  <c r="AA41" i="11"/>
  <c r="V5" i="11"/>
  <c r="O31" i="11"/>
  <c r="N13" i="11"/>
  <c r="H9" i="11"/>
  <c r="Z5" i="11"/>
  <c r="F37" i="11"/>
  <c r="Q42" i="11"/>
  <c r="J9" i="11"/>
  <c r="V9" i="11"/>
  <c r="AA8" i="11"/>
  <c r="C4" i="11"/>
  <c r="H13" i="11"/>
  <c r="G31" i="11"/>
  <c r="J28" i="11"/>
  <c r="AB21" i="11"/>
  <c r="AF18" i="11"/>
  <c r="W23" i="11"/>
  <c r="L30" i="11"/>
  <c r="K32" i="11"/>
  <c r="T43" i="11"/>
  <c r="W41" i="11"/>
  <c r="J15" i="11"/>
  <c r="O10" i="11"/>
  <c r="AF41" i="11"/>
  <c r="N43" i="11"/>
  <c r="O40" i="11"/>
  <c r="AG38" i="11"/>
  <c r="U40" i="11"/>
  <c r="F19" i="11"/>
  <c r="Q12" i="11"/>
  <c r="U32" i="11"/>
  <c r="AA27" i="11"/>
  <c r="O12" i="11"/>
  <c r="N4" i="11"/>
  <c r="V36" i="11"/>
  <c r="T5" i="11"/>
  <c r="D30" i="11"/>
  <c r="D43" i="11"/>
  <c r="K14" i="11"/>
  <c r="W32" i="11"/>
  <c r="AA11" i="11"/>
  <c r="M6" i="11"/>
  <c r="F43" i="11"/>
  <c r="K15" i="11"/>
  <c r="AC13" i="11"/>
  <c r="AE41" i="11"/>
  <c r="AA4" i="11"/>
  <c r="O41" i="11"/>
  <c r="AA43" i="11"/>
  <c r="N22" i="11"/>
  <c r="AD8" i="11"/>
  <c r="O39" i="11"/>
  <c r="T9" i="11"/>
  <c r="V29" i="11"/>
  <c r="N17" i="11"/>
  <c r="D35" i="11"/>
  <c r="P6" i="11"/>
  <c r="T40" i="11"/>
  <c r="G13" i="11"/>
  <c r="L41" i="11"/>
  <c r="X16" i="11"/>
  <c r="AG16" i="11"/>
  <c r="T33" i="11"/>
  <c r="C33" i="11"/>
  <c r="E9" i="11"/>
  <c r="K23" i="11"/>
  <c r="T11" i="11"/>
  <c r="P38" i="11"/>
  <c r="O5" i="11"/>
  <c r="Q36" i="11"/>
  <c r="U4" i="11"/>
  <c r="Y15" i="11"/>
  <c r="C29" i="11"/>
  <c r="K24" i="11"/>
  <c r="X23" i="11"/>
  <c r="AD40" i="11"/>
  <c r="U41" i="11"/>
  <c r="V15" i="11"/>
  <c r="M10" i="11"/>
  <c r="T18" i="11"/>
  <c r="D28" i="11"/>
  <c r="G42" i="11"/>
  <c r="AH21" i="11"/>
  <c r="Q34" i="11"/>
  <c r="Y38" i="11"/>
  <c r="J11" i="12"/>
  <c r="M11" i="12" s="1"/>
  <c r="AE34" i="11"/>
  <c r="AB27" i="11"/>
  <c r="Z13" i="11"/>
  <c r="U17" i="11"/>
  <c r="K37" i="11"/>
  <c r="AF38" i="11"/>
  <c r="G39" i="11"/>
  <c r="X39" i="11"/>
  <c r="AC42" i="11"/>
  <c r="K40" i="11"/>
  <c r="O21" i="11"/>
  <c r="AF6" i="11"/>
  <c r="Z16" i="11"/>
  <c r="AD4" i="11"/>
  <c r="M31" i="11"/>
  <c r="AC40" i="11"/>
  <c r="J20" i="11"/>
  <c r="C12" i="11"/>
  <c r="L4" i="11"/>
  <c r="AB17" i="11"/>
  <c r="V33" i="11"/>
  <c r="AF20" i="11"/>
  <c r="H16" i="11"/>
  <c r="AD7" i="11"/>
  <c r="Q23" i="11"/>
  <c r="F34" i="11"/>
  <c r="W38" i="11"/>
  <c r="O27" i="11"/>
  <c r="G32" i="11"/>
  <c r="Z17" i="11"/>
  <c r="C19" i="11"/>
  <c r="W31" i="11"/>
  <c r="F22" i="11"/>
  <c r="AG23" i="11"/>
  <c r="AB16" i="11"/>
  <c r="D14" i="11"/>
  <c r="D5" i="11"/>
  <c r="AA5" i="11"/>
  <c r="K22" i="11"/>
  <c r="M9" i="11"/>
  <c r="I13" i="11"/>
  <c r="T10" i="11"/>
  <c r="X9" i="11"/>
  <c r="AE38" i="11"/>
  <c r="K5" i="11"/>
  <c r="C11" i="11"/>
  <c r="AH4" i="11"/>
  <c r="M11" i="11"/>
  <c r="P31" i="11"/>
  <c r="AF25" i="11"/>
  <c r="AB5" i="11"/>
  <c r="I18" i="11"/>
  <c r="K9" i="11"/>
  <c r="AG32" i="11"/>
  <c r="C36" i="11"/>
  <c r="L13" i="11"/>
  <c r="AF16" i="11"/>
  <c r="Z10" i="11"/>
  <c r="AA30" i="11"/>
  <c r="C30" i="11"/>
  <c r="AB13" i="11"/>
  <c r="V31" i="11"/>
  <c r="M12" i="11"/>
  <c r="Z8" i="11"/>
  <c r="H27" i="11"/>
  <c r="N32" i="11"/>
  <c r="E6" i="11"/>
  <c r="X27" i="11"/>
  <c r="AD16" i="11"/>
  <c r="N21" i="11"/>
  <c r="AH37" i="11"/>
  <c r="Q15" i="11"/>
  <c r="G23" i="11"/>
  <c r="AC33" i="11"/>
  <c r="AA23" i="11"/>
  <c r="J41" i="11"/>
  <c r="K16" i="11"/>
  <c r="AB9" i="11"/>
  <c r="AD39" i="11"/>
  <c r="J36" i="11"/>
  <c r="V25" i="11"/>
  <c r="AD36" i="11"/>
  <c r="D37" i="11"/>
  <c r="N19" i="11"/>
  <c r="X26" i="11"/>
  <c r="X12" i="11"/>
  <c r="H34" i="11"/>
  <c r="AH15" i="11"/>
  <c r="T41" i="11"/>
  <c r="Q31" i="11"/>
  <c r="U27" i="11"/>
  <c r="V24" i="11"/>
  <c r="O15" i="11"/>
  <c r="O14" i="11"/>
  <c r="K18" i="12"/>
  <c r="U18" i="11"/>
  <c r="M35" i="11"/>
  <c r="O42" i="11"/>
  <c r="J38" i="11"/>
  <c r="N34" i="11"/>
  <c r="K11" i="11"/>
  <c r="Z35" i="11"/>
  <c r="P42" i="11"/>
  <c r="H25" i="11"/>
  <c r="M36" i="11"/>
  <c r="AG31" i="11"/>
  <c r="O25" i="11"/>
  <c r="C22" i="11"/>
  <c r="N35" i="11"/>
  <c r="C9" i="11"/>
  <c r="N26" i="11"/>
  <c r="Z12" i="11"/>
  <c r="AB34" i="11"/>
  <c r="W20" i="11"/>
  <c r="K39" i="11"/>
  <c r="F12" i="11"/>
  <c r="T24" i="11"/>
  <c r="O43" i="11"/>
  <c r="AA18" i="11"/>
  <c r="I32" i="11"/>
  <c r="N38" i="11"/>
  <c r="AE21" i="11"/>
  <c r="K42" i="11"/>
  <c r="I33" i="11"/>
  <c r="N9" i="11"/>
  <c r="P24" i="11"/>
  <c r="J18" i="11"/>
  <c r="Y40" i="11"/>
  <c r="AF11" i="11"/>
  <c r="X25" i="11"/>
  <c r="AD41" i="11"/>
  <c r="E42" i="11"/>
  <c r="T38" i="11"/>
  <c r="I22" i="11"/>
  <c r="AC6" i="11"/>
  <c r="I25" i="11"/>
  <c r="AC5" i="11"/>
  <c r="D7" i="11"/>
  <c r="AG21" i="11"/>
  <c r="L9" i="11"/>
  <c r="E35" i="11"/>
  <c r="J4" i="11"/>
  <c r="U37" i="11"/>
  <c r="Q29" i="11"/>
  <c r="L34" i="11"/>
  <c r="H30" i="11"/>
  <c r="X17" i="11"/>
  <c r="K38" i="11"/>
  <c r="T13" i="11"/>
  <c r="J22" i="11"/>
  <c r="AF29" i="11"/>
  <c r="Q41" i="11"/>
  <c r="AC30" i="11"/>
  <c r="AE24" i="11"/>
  <c r="X15" i="11"/>
  <c r="H24" i="11"/>
  <c r="Y33" i="11"/>
  <c r="AA36" i="11"/>
  <c r="D21" i="11"/>
  <c r="W16" i="11"/>
  <c r="Y31" i="11"/>
  <c r="V35" i="11"/>
  <c r="J17" i="12"/>
  <c r="U6" i="11"/>
  <c r="V14" i="11"/>
  <c r="H12" i="11"/>
  <c r="Y42" i="11"/>
  <c r="C10" i="11"/>
  <c r="AG36" i="11"/>
  <c r="C32" i="11"/>
  <c r="I10" i="11"/>
  <c r="AE29" i="11"/>
  <c r="AD33" i="11"/>
  <c r="AA24" i="11"/>
  <c r="M10" i="12"/>
  <c r="I24" i="12" s="1"/>
  <c r="O10" i="12" s="1"/>
  <c r="L10" i="12"/>
  <c r="H24" i="12" s="1"/>
  <c r="K10" i="12"/>
  <c r="L11" i="12"/>
  <c r="H25" i="12" s="1"/>
  <c r="K11" i="12"/>
  <c r="N11" i="12"/>
  <c r="L9" i="12"/>
  <c r="H23" i="12" s="1"/>
  <c r="K9" i="12"/>
  <c r="N9" i="12"/>
  <c r="L12" i="12"/>
  <c r="H26" i="12" s="1"/>
  <c r="N12" i="12" s="1"/>
  <c r="K12" i="12"/>
  <c r="I7" i="11"/>
  <c r="AC36" i="11"/>
  <c r="K35" i="11"/>
  <c r="F27" i="11"/>
  <c r="AG42" i="11"/>
  <c r="C25" i="11"/>
  <c r="C24" i="11"/>
  <c r="L11" i="11"/>
  <c r="O11" i="11"/>
  <c r="U34" i="11"/>
  <c r="M39" i="11"/>
  <c r="V21" i="11"/>
  <c r="H8" i="11"/>
  <c r="Z22" i="11"/>
  <c r="I14" i="11"/>
  <c r="U35" i="11"/>
  <c r="C8" i="11"/>
  <c r="N28" i="11"/>
  <c r="AE12" i="11"/>
  <c r="AB38" i="11"/>
  <c r="AE8" i="11"/>
  <c r="AD32" i="11"/>
  <c r="L43" i="11"/>
  <c r="Y9" i="11"/>
  <c r="Y29" i="11"/>
  <c r="AF27" i="11"/>
  <c r="N7" i="11"/>
  <c r="P22" i="11"/>
  <c r="X7" i="11"/>
  <c r="E43" i="11"/>
  <c r="AD17" i="11"/>
  <c r="K8" i="11"/>
  <c r="G15" i="11"/>
  <c r="T20" i="11"/>
  <c r="T16" i="11"/>
  <c r="W9" i="11"/>
  <c r="Z15" i="11"/>
  <c r="Z31" i="11"/>
  <c r="T29" i="11"/>
  <c r="X37" i="11"/>
  <c r="M30" i="11"/>
  <c r="N40" i="11"/>
  <c r="C37" i="11"/>
  <c r="O23" i="11"/>
  <c r="U38" i="11"/>
  <c r="Q6" i="11"/>
  <c r="H7" i="11"/>
  <c r="AE5" i="11"/>
  <c r="O9" i="12"/>
  <c r="Q11" i="12"/>
  <c r="K13" i="12"/>
  <c r="I25" i="12"/>
  <c r="O11" i="12" s="1"/>
  <c r="P11" i="12" s="1"/>
  <c r="T11" i="12" s="1"/>
  <c r="G28" i="12"/>
  <c r="M12" i="12"/>
  <c r="J13" i="12"/>
  <c r="L13" i="12"/>
  <c r="H27" i="12" s="1"/>
  <c r="A16" i="7"/>
  <c r="B17" i="7"/>
  <c r="A17" i="1"/>
  <c r="C16" i="7"/>
  <c r="D16" i="7"/>
  <c r="M25" i="6"/>
  <c r="H33" i="6"/>
  <c r="K27" i="6"/>
  <c r="N26" i="6"/>
  <c r="L33" i="6"/>
  <c r="M27" i="6"/>
  <c r="M30" i="6"/>
  <c r="J17" i="7"/>
  <c r="M23" i="6"/>
  <c r="C33" i="6"/>
  <c r="F29" i="6"/>
  <c r="L26" i="6"/>
  <c r="D26" i="6"/>
  <c r="L23" i="6"/>
  <c r="E29" i="6"/>
  <c r="G24" i="6"/>
  <c r="D28" i="6"/>
  <c r="J26" i="6"/>
  <c r="H24" i="6"/>
  <c r="K25" i="6"/>
  <c r="G31" i="6"/>
  <c r="D32" i="6"/>
  <c r="G23" i="6"/>
  <c r="E30" i="6"/>
  <c r="N23" i="6"/>
  <c r="F26" i="6"/>
  <c r="O17" i="7"/>
  <c r="I29" i="6"/>
  <c r="C28" i="6"/>
  <c r="K17" i="7"/>
  <c r="K23" i="6"/>
  <c r="I16" i="7"/>
  <c r="M24" i="6"/>
  <c r="K32" i="6"/>
  <c r="N32" i="6"/>
  <c r="E31" i="6"/>
  <c r="C30" i="6"/>
  <c r="P17" i="7"/>
  <c r="L27" i="6"/>
  <c r="C31" i="6"/>
  <c r="F33" i="6"/>
  <c r="C24" i="6"/>
  <c r="M28" i="6"/>
  <c r="L25" i="6"/>
  <c r="C34" i="1"/>
  <c r="C23" i="1"/>
  <c r="D23" i="1"/>
  <c r="P9" i="12" l="1"/>
  <c r="T9" i="12" s="1"/>
  <c r="R10" i="12"/>
  <c r="Q9" i="12"/>
  <c r="S9" i="12" s="1"/>
  <c r="U9" i="12" s="1"/>
  <c r="N10" i="12"/>
  <c r="P10" i="12" s="1"/>
  <c r="T10" i="12" s="1"/>
  <c r="Q10" i="12"/>
  <c r="Q12" i="12"/>
  <c r="R11" i="12"/>
  <c r="S11" i="12" s="1"/>
  <c r="U11" i="12" s="1"/>
  <c r="M13" i="12"/>
  <c r="I27" i="12" s="1"/>
  <c r="O13" i="12" s="1"/>
  <c r="N13" i="12"/>
  <c r="G29" i="12"/>
  <c r="I26" i="12"/>
  <c r="R12" i="12" s="1"/>
  <c r="S12" i="12" s="1"/>
  <c r="U12" i="12" s="1"/>
  <c r="Q13" i="12"/>
  <c r="L14" i="12"/>
  <c r="H28" i="12" s="1"/>
  <c r="A17" i="7"/>
  <c r="B18" i="7"/>
  <c r="N17" i="1"/>
  <c r="A53" i="1"/>
  <c r="AA53" i="1" s="1"/>
  <c r="A10" i="1"/>
  <c r="A46" i="1"/>
  <c r="AA46" i="1" s="1"/>
  <c r="C17" i="7"/>
  <c r="D17" i="7"/>
  <c r="I17" i="7"/>
  <c r="O18" i="7"/>
  <c r="J18" i="7"/>
  <c r="P18" i="7"/>
  <c r="K18" i="7"/>
  <c r="S10" i="12" l="1"/>
  <c r="U10" i="12" s="1"/>
  <c r="P13" i="12"/>
  <c r="T13" i="12" s="1"/>
  <c r="G30" i="12"/>
  <c r="O12" i="12"/>
  <c r="P12" i="12" s="1"/>
  <c r="T12" i="12" s="1"/>
  <c r="R13" i="12"/>
  <c r="S13" i="12" s="1"/>
  <c r="U13" i="12" s="1"/>
  <c r="N14" i="12"/>
  <c r="Q14" i="12"/>
  <c r="M14" i="12"/>
  <c r="I28" i="12" s="1"/>
  <c r="O14" i="12" s="1"/>
  <c r="L15" i="12"/>
  <c r="H29" i="12" s="1"/>
  <c r="A18" i="7"/>
  <c r="B19" i="7"/>
  <c r="N53" i="1"/>
  <c r="N46" i="1"/>
  <c r="N10" i="1"/>
  <c r="A11" i="1"/>
  <c r="A47" i="1"/>
  <c r="L79" i="3"/>
  <c r="M79" i="3" s="1"/>
  <c r="R79" i="3" s="1"/>
  <c r="I79" i="3"/>
  <c r="G79" i="3"/>
  <c r="H79" i="3" s="1"/>
  <c r="L78" i="3"/>
  <c r="M78" i="3" s="1"/>
  <c r="R78" i="3" s="1"/>
  <c r="I78" i="3"/>
  <c r="G78" i="3"/>
  <c r="H78" i="3" s="1"/>
  <c r="L77" i="3"/>
  <c r="M77" i="3" s="1"/>
  <c r="R77" i="3" s="1"/>
  <c r="I77" i="3"/>
  <c r="G77" i="3"/>
  <c r="H77" i="3" s="1"/>
  <c r="L76" i="3"/>
  <c r="M76" i="3" s="1"/>
  <c r="R76" i="3" s="1"/>
  <c r="I76" i="3"/>
  <c r="G76" i="3"/>
  <c r="H76" i="3" s="1"/>
  <c r="L75" i="3"/>
  <c r="M75" i="3" s="1"/>
  <c r="R75" i="3" s="1"/>
  <c r="I75" i="3"/>
  <c r="G75" i="3"/>
  <c r="H75" i="3" s="1"/>
  <c r="L74" i="3"/>
  <c r="M74" i="3" s="1"/>
  <c r="R74" i="3" s="1"/>
  <c r="I74" i="3"/>
  <c r="G74" i="3"/>
  <c r="H74" i="3" s="1"/>
  <c r="L73" i="3"/>
  <c r="M73" i="3" s="1"/>
  <c r="R73" i="3" s="1"/>
  <c r="I73" i="3"/>
  <c r="G73" i="3"/>
  <c r="H73" i="3" s="1"/>
  <c r="L72" i="3"/>
  <c r="M72" i="3" s="1"/>
  <c r="R72" i="3" s="1"/>
  <c r="I72" i="3"/>
  <c r="G72" i="3"/>
  <c r="H72" i="3" s="1"/>
  <c r="L71" i="3"/>
  <c r="M71" i="3" s="1"/>
  <c r="R71" i="3" s="1"/>
  <c r="I71" i="3"/>
  <c r="G71" i="3"/>
  <c r="H71" i="3" s="1"/>
  <c r="L70" i="3"/>
  <c r="M70" i="3" s="1"/>
  <c r="R70" i="3" s="1"/>
  <c r="I70" i="3"/>
  <c r="G70" i="3"/>
  <c r="H70" i="3" s="1"/>
  <c r="L69" i="3"/>
  <c r="M69" i="3" s="1"/>
  <c r="R69" i="3" s="1"/>
  <c r="I69" i="3"/>
  <c r="G69" i="3"/>
  <c r="H69" i="3" s="1"/>
  <c r="L68" i="3"/>
  <c r="M68" i="3" s="1"/>
  <c r="R68" i="3" s="1"/>
  <c r="I68" i="3"/>
  <c r="G68" i="3"/>
  <c r="H68" i="3" s="1"/>
  <c r="L67" i="3"/>
  <c r="M67" i="3" s="1"/>
  <c r="R67" i="3" s="1"/>
  <c r="I67" i="3"/>
  <c r="G67" i="3"/>
  <c r="H67" i="3" s="1"/>
  <c r="L66" i="3"/>
  <c r="M66" i="3" s="1"/>
  <c r="R66" i="3" s="1"/>
  <c r="I66" i="3"/>
  <c r="G66" i="3"/>
  <c r="H66" i="3" s="1"/>
  <c r="L65" i="3"/>
  <c r="M65" i="3" s="1"/>
  <c r="R65" i="3" s="1"/>
  <c r="I65" i="3"/>
  <c r="G65" i="3"/>
  <c r="H65" i="3" s="1"/>
  <c r="L64" i="3"/>
  <c r="M64" i="3" s="1"/>
  <c r="R64" i="3" s="1"/>
  <c r="I64" i="3"/>
  <c r="G64" i="3"/>
  <c r="H64" i="3" s="1"/>
  <c r="L63" i="3"/>
  <c r="M63" i="3" s="1"/>
  <c r="R63" i="3" s="1"/>
  <c r="I63" i="3"/>
  <c r="G63" i="3"/>
  <c r="H63" i="3" s="1"/>
  <c r="L62" i="3"/>
  <c r="M62" i="3" s="1"/>
  <c r="R62" i="3" s="1"/>
  <c r="I62" i="3"/>
  <c r="G62" i="3"/>
  <c r="H62" i="3" s="1"/>
  <c r="L61" i="3"/>
  <c r="M61" i="3" s="1"/>
  <c r="R61" i="3" s="1"/>
  <c r="I61" i="3"/>
  <c r="G61" i="3"/>
  <c r="H61" i="3" s="1"/>
  <c r="L60" i="3"/>
  <c r="M60" i="3" s="1"/>
  <c r="R60" i="3" s="1"/>
  <c r="I60" i="3"/>
  <c r="G60" i="3"/>
  <c r="H60" i="3" s="1"/>
  <c r="L59" i="3"/>
  <c r="M59" i="3" s="1"/>
  <c r="R59" i="3" s="1"/>
  <c r="I59" i="3"/>
  <c r="G59" i="3"/>
  <c r="H59" i="3" s="1"/>
  <c r="L58" i="3"/>
  <c r="M58" i="3" s="1"/>
  <c r="R58" i="3" s="1"/>
  <c r="I58" i="3"/>
  <c r="G58" i="3"/>
  <c r="H58" i="3" s="1"/>
  <c r="L57" i="3"/>
  <c r="M57" i="3" s="1"/>
  <c r="R57" i="3" s="1"/>
  <c r="I57" i="3"/>
  <c r="G57" i="3"/>
  <c r="H57" i="3" s="1"/>
  <c r="L56" i="3"/>
  <c r="M56" i="3" s="1"/>
  <c r="R56" i="3" s="1"/>
  <c r="I56" i="3"/>
  <c r="G56" i="3"/>
  <c r="H56" i="3" s="1"/>
  <c r="L55" i="3"/>
  <c r="M55" i="3" s="1"/>
  <c r="R55" i="3" s="1"/>
  <c r="I55" i="3"/>
  <c r="G55" i="3"/>
  <c r="H55" i="3" s="1"/>
  <c r="L54" i="3"/>
  <c r="M54" i="3" s="1"/>
  <c r="R54" i="3" s="1"/>
  <c r="I54" i="3"/>
  <c r="G54" i="3"/>
  <c r="H54" i="3" s="1"/>
  <c r="L53" i="3"/>
  <c r="M53" i="3" s="1"/>
  <c r="R53" i="3" s="1"/>
  <c r="I53" i="3"/>
  <c r="G53" i="3"/>
  <c r="H53" i="3" s="1"/>
  <c r="L52" i="3"/>
  <c r="M52" i="3" s="1"/>
  <c r="R52" i="3" s="1"/>
  <c r="I52" i="3"/>
  <c r="G52" i="3"/>
  <c r="H52" i="3" s="1"/>
  <c r="L51" i="3"/>
  <c r="M51" i="3" s="1"/>
  <c r="R51" i="3" s="1"/>
  <c r="I51" i="3"/>
  <c r="G51" i="3"/>
  <c r="H51" i="3" s="1"/>
  <c r="L50" i="3"/>
  <c r="M50" i="3" s="1"/>
  <c r="R50" i="3" s="1"/>
  <c r="I50" i="3"/>
  <c r="G50" i="3"/>
  <c r="H50" i="3" s="1"/>
  <c r="L49" i="3"/>
  <c r="M49" i="3" s="1"/>
  <c r="R49" i="3" s="1"/>
  <c r="I49" i="3"/>
  <c r="G49" i="3"/>
  <c r="H49" i="3" s="1"/>
  <c r="L48" i="3"/>
  <c r="M48" i="3" s="1"/>
  <c r="R48" i="3" s="1"/>
  <c r="I48" i="3"/>
  <c r="G48" i="3"/>
  <c r="H48" i="3" s="1"/>
  <c r="L47" i="3"/>
  <c r="M47" i="3" s="1"/>
  <c r="R47" i="3" s="1"/>
  <c r="I47" i="3"/>
  <c r="G47" i="3"/>
  <c r="H47" i="3" s="1"/>
  <c r="L46" i="3"/>
  <c r="M46" i="3" s="1"/>
  <c r="R46" i="3" s="1"/>
  <c r="I46" i="3"/>
  <c r="G46" i="3"/>
  <c r="H46" i="3" s="1"/>
  <c r="L45" i="3"/>
  <c r="M45" i="3" s="1"/>
  <c r="R45" i="3" s="1"/>
  <c r="I45" i="3"/>
  <c r="G45" i="3"/>
  <c r="H45" i="3" s="1"/>
  <c r="L44" i="3"/>
  <c r="M44" i="3" s="1"/>
  <c r="R44" i="3" s="1"/>
  <c r="I44" i="3"/>
  <c r="G44" i="3"/>
  <c r="H44" i="3" s="1"/>
  <c r="L43" i="3"/>
  <c r="M43" i="3" s="1"/>
  <c r="R43" i="3" s="1"/>
  <c r="I43" i="3"/>
  <c r="G43" i="3"/>
  <c r="H43" i="3" s="1"/>
  <c r="L42" i="3"/>
  <c r="M42" i="3" s="1"/>
  <c r="R42" i="3" s="1"/>
  <c r="I42" i="3"/>
  <c r="G42" i="3"/>
  <c r="H42" i="3" s="1"/>
  <c r="L41" i="3"/>
  <c r="M41" i="3" s="1"/>
  <c r="R41" i="3" s="1"/>
  <c r="I41" i="3"/>
  <c r="G41" i="3"/>
  <c r="H41" i="3" s="1"/>
  <c r="L40" i="3"/>
  <c r="M40" i="3" s="1"/>
  <c r="R40" i="3" s="1"/>
  <c r="I40" i="3"/>
  <c r="G40" i="3"/>
  <c r="H40" i="3" s="1"/>
  <c r="L39" i="3"/>
  <c r="M39" i="3" s="1"/>
  <c r="R39" i="3" s="1"/>
  <c r="I39" i="3"/>
  <c r="G39" i="3"/>
  <c r="H39" i="3" s="1"/>
  <c r="L38" i="3"/>
  <c r="M38" i="3" s="1"/>
  <c r="R38" i="3" s="1"/>
  <c r="I38" i="3"/>
  <c r="G38" i="3"/>
  <c r="H38" i="3" s="1"/>
  <c r="L37" i="3"/>
  <c r="M37" i="3" s="1"/>
  <c r="R37" i="3" s="1"/>
  <c r="I37" i="3"/>
  <c r="G37" i="3"/>
  <c r="H37" i="3" s="1"/>
  <c r="L36" i="3"/>
  <c r="M36" i="3" s="1"/>
  <c r="R36" i="3" s="1"/>
  <c r="I36" i="3"/>
  <c r="G36" i="3"/>
  <c r="H36" i="3" s="1"/>
  <c r="L35" i="3"/>
  <c r="M35" i="3" s="1"/>
  <c r="R35" i="3" s="1"/>
  <c r="I35" i="3"/>
  <c r="G35" i="3"/>
  <c r="H35" i="3" s="1"/>
  <c r="L34" i="3"/>
  <c r="M34" i="3" s="1"/>
  <c r="R34" i="3" s="1"/>
  <c r="I34" i="3"/>
  <c r="G34" i="3"/>
  <c r="H34" i="3" s="1"/>
  <c r="L33" i="3"/>
  <c r="M33" i="3" s="1"/>
  <c r="R33" i="3" s="1"/>
  <c r="I33" i="3"/>
  <c r="G33" i="3"/>
  <c r="H33" i="3" s="1"/>
  <c r="L32" i="3"/>
  <c r="M32" i="3" s="1"/>
  <c r="R32" i="3" s="1"/>
  <c r="I32" i="3"/>
  <c r="G32" i="3"/>
  <c r="H32" i="3" s="1"/>
  <c r="L31" i="3"/>
  <c r="M31" i="3" s="1"/>
  <c r="R31" i="3" s="1"/>
  <c r="I31" i="3"/>
  <c r="G31" i="3"/>
  <c r="H31" i="3" s="1"/>
  <c r="L30" i="3"/>
  <c r="M30" i="3" s="1"/>
  <c r="R30" i="3" s="1"/>
  <c r="I30" i="3"/>
  <c r="G30" i="3"/>
  <c r="H30" i="3" s="1"/>
  <c r="L29" i="3"/>
  <c r="M29" i="3" s="1"/>
  <c r="R29" i="3" s="1"/>
  <c r="I29" i="3"/>
  <c r="G29" i="3"/>
  <c r="H29" i="3" s="1"/>
  <c r="L28" i="3"/>
  <c r="M28" i="3" s="1"/>
  <c r="R28" i="3" s="1"/>
  <c r="I28" i="3"/>
  <c r="G28" i="3"/>
  <c r="H28" i="3" s="1"/>
  <c r="L27" i="3"/>
  <c r="M27" i="3" s="1"/>
  <c r="R27" i="3" s="1"/>
  <c r="I27" i="3"/>
  <c r="G27" i="3"/>
  <c r="H27" i="3" s="1"/>
  <c r="L26" i="3"/>
  <c r="M26" i="3" s="1"/>
  <c r="R26" i="3" s="1"/>
  <c r="I26" i="3"/>
  <c r="G26" i="3"/>
  <c r="H26" i="3" s="1"/>
  <c r="L25" i="3"/>
  <c r="M25" i="3" s="1"/>
  <c r="R25" i="3" s="1"/>
  <c r="I25" i="3"/>
  <c r="G25" i="3"/>
  <c r="H25" i="3" s="1"/>
  <c r="L24" i="3"/>
  <c r="M24" i="3" s="1"/>
  <c r="R24" i="3" s="1"/>
  <c r="I24" i="3"/>
  <c r="G24" i="3"/>
  <c r="H24" i="3" s="1"/>
  <c r="L23" i="3"/>
  <c r="M23" i="3" s="1"/>
  <c r="R23" i="3" s="1"/>
  <c r="I23" i="3"/>
  <c r="G23" i="3"/>
  <c r="H23" i="3" s="1"/>
  <c r="L22" i="3"/>
  <c r="M22" i="3" s="1"/>
  <c r="R22" i="3" s="1"/>
  <c r="I22" i="3"/>
  <c r="G22" i="3"/>
  <c r="H22" i="3" s="1"/>
  <c r="L21" i="3"/>
  <c r="M21" i="3" s="1"/>
  <c r="R21" i="3" s="1"/>
  <c r="I21" i="3"/>
  <c r="G21" i="3"/>
  <c r="H21" i="3" s="1"/>
  <c r="L20" i="3"/>
  <c r="M20" i="3" s="1"/>
  <c r="R20" i="3" s="1"/>
  <c r="I20" i="3"/>
  <c r="G20" i="3"/>
  <c r="H20" i="3" s="1"/>
  <c r="L19" i="3"/>
  <c r="M19" i="3" s="1"/>
  <c r="R19" i="3" s="1"/>
  <c r="I19" i="3"/>
  <c r="G19" i="3"/>
  <c r="H19" i="3" s="1"/>
  <c r="L18" i="3"/>
  <c r="M18" i="3" s="1"/>
  <c r="R18" i="3" s="1"/>
  <c r="I18" i="3"/>
  <c r="G18" i="3"/>
  <c r="H18" i="3" s="1"/>
  <c r="L17" i="3"/>
  <c r="M17" i="3" s="1"/>
  <c r="R17" i="3" s="1"/>
  <c r="I17" i="3"/>
  <c r="G17" i="3"/>
  <c r="H17" i="3" s="1"/>
  <c r="L16" i="3"/>
  <c r="M16" i="3" s="1"/>
  <c r="R16" i="3" s="1"/>
  <c r="I16" i="3"/>
  <c r="G16" i="3"/>
  <c r="H16" i="3" s="1"/>
  <c r="L15" i="3"/>
  <c r="M15" i="3" s="1"/>
  <c r="R15" i="3" s="1"/>
  <c r="I15" i="3"/>
  <c r="G15" i="3"/>
  <c r="H15" i="3" s="1"/>
  <c r="L14" i="3"/>
  <c r="M14" i="3" s="1"/>
  <c r="R14" i="3" s="1"/>
  <c r="I14" i="3"/>
  <c r="G14" i="3"/>
  <c r="H14" i="3" s="1"/>
  <c r="L13" i="3"/>
  <c r="M13" i="3" s="1"/>
  <c r="R13" i="3" s="1"/>
  <c r="I13" i="3"/>
  <c r="G13" i="3"/>
  <c r="H13" i="3" s="1"/>
  <c r="L12" i="3"/>
  <c r="M12" i="3" s="1"/>
  <c r="R12" i="3" s="1"/>
  <c r="I12" i="3"/>
  <c r="G12" i="3"/>
  <c r="H12" i="3" s="1"/>
  <c r="L11" i="3"/>
  <c r="M11" i="3" s="1"/>
  <c r="R11" i="3" s="1"/>
  <c r="I11" i="3"/>
  <c r="G11" i="3"/>
  <c r="H11" i="3" s="1"/>
  <c r="L10" i="3"/>
  <c r="M10" i="3" s="1"/>
  <c r="R10" i="3" s="1"/>
  <c r="I10" i="3"/>
  <c r="G10" i="3"/>
  <c r="H10" i="3" s="1"/>
  <c r="L9" i="3"/>
  <c r="M9" i="3" s="1"/>
  <c r="R9" i="3" s="1"/>
  <c r="I9" i="3"/>
  <c r="G9" i="3"/>
  <c r="H9" i="3" s="1"/>
  <c r="L8" i="3"/>
  <c r="M8" i="3" s="1"/>
  <c r="R8" i="3" s="1"/>
  <c r="I8" i="3"/>
  <c r="G8" i="3"/>
  <c r="H8" i="3" s="1"/>
  <c r="L7" i="3"/>
  <c r="M7" i="3" s="1"/>
  <c r="R7" i="3" s="1"/>
  <c r="I7" i="3"/>
  <c r="G7" i="3"/>
  <c r="H7" i="3" s="1"/>
  <c r="L6" i="3"/>
  <c r="M6" i="3" s="1"/>
  <c r="I6" i="3"/>
  <c r="G6" i="3"/>
  <c r="H6" i="3" s="1"/>
  <c r="L5" i="3"/>
  <c r="M5" i="3" s="1"/>
  <c r="R5" i="3" s="1"/>
  <c r="I5" i="3"/>
  <c r="G5" i="3"/>
  <c r="H5" i="3" s="1"/>
  <c r="H1" i="3"/>
  <c r="E1" i="3"/>
  <c r="D1" i="3"/>
  <c r="D2" i="3" s="1"/>
  <c r="B1" i="3"/>
  <c r="C18" i="7"/>
  <c r="D18" i="7"/>
  <c r="O19" i="7"/>
  <c r="P19" i="7"/>
  <c r="K19" i="7"/>
  <c r="J19" i="7"/>
  <c r="I18" i="7"/>
  <c r="AC53" i="1"/>
  <c r="AD46" i="1"/>
  <c r="AD53" i="1"/>
  <c r="O46" i="1"/>
  <c r="AC46" i="1"/>
  <c r="AH53" i="1"/>
  <c r="V46" i="1"/>
  <c r="AH46" i="1"/>
  <c r="AI53" i="1"/>
  <c r="U53" i="1"/>
  <c r="W53" i="1"/>
  <c r="AJ46" i="1"/>
  <c r="AG46" i="1"/>
  <c r="P46" i="1"/>
  <c r="Y46" i="1"/>
  <c r="AE53" i="1"/>
  <c r="AG53" i="1"/>
  <c r="AI46" i="1"/>
  <c r="V53" i="1"/>
  <c r="AB53" i="1"/>
  <c r="AJ53" i="1"/>
  <c r="AF46" i="1"/>
  <c r="U46" i="1"/>
  <c r="Y53" i="1"/>
  <c r="AE46" i="1"/>
  <c r="AF53" i="1"/>
  <c r="AB46" i="1"/>
  <c r="AA47" i="1" l="1"/>
  <c r="R14" i="12"/>
  <c r="N15" i="12"/>
  <c r="G31" i="12"/>
  <c r="Q15" i="12"/>
  <c r="P14" i="12"/>
  <c r="T14" i="12" s="1"/>
  <c r="S14" i="12"/>
  <c r="U14" i="12" s="1"/>
  <c r="M15" i="12"/>
  <c r="I29" i="12" s="1"/>
  <c r="L16" i="12"/>
  <c r="H30" i="12" s="1"/>
  <c r="A19" i="7"/>
  <c r="AA59" i="1"/>
  <c r="AA66" i="1"/>
  <c r="N47" i="1"/>
  <c r="N11" i="1"/>
  <c r="A12" i="1"/>
  <c r="J28" i="3"/>
  <c r="K28" i="3" s="1"/>
  <c r="J77" i="3"/>
  <c r="K77" i="3" s="1"/>
  <c r="A48" i="1"/>
  <c r="AA48" i="1" s="1"/>
  <c r="J10" i="3"/>
  <c r="K10" i="3" s="1"/>
  <c r="J71" i="3"/>
  <c r="K71" i="3" s="1"/>
  <c r="J59" i="3"/>
  <c r="K59" i="3" s="1"/>
  <c r="J8" i="3"/>
  <c r="K8" i="3" s="1"/>
  <c r="J62" i="3"/>
  <c r="K62" i="3" s="1"/>
  <c r="J56" i="3"/>
  <c r="K56" i="3" s="1"/>
  <c r="J35" i="3"/>
  <c r="K35" i="3" s="1"/>
  <c r="J39" i="3"/>
  <c r="K39" i="3" s="1"/>
  <c r="J43" i="3"/>
  <c r="K43" i="3" s="1"/>
  <c r="J47" i="3"/>
  <c r="K47" i="3" s="1"/>
  <c r="J51" i="3"/>
  <c r="K51" i="3" s="1"/>
  <c r="J67" i="3"/>
  <c r="K67" i="3" s="1"/>
  <c r="J57" i="3"/>
  <c r="K57" i="3" s="1"/>
  <c r="J70" i="3"/>
  <c r="K70" i="3" s="1"/>
  <c r="J5" i="3"/>
  <c r="K5" i="3" s="1"/>
  <c r="J12" i="3"/>
  <c r="K12" i="3" s="1"/>
  <c r="J64" i="3"/>
  <c r="K64" i="3" s="1"/>
  <c r="J69" i="3"/>
  <c r="K69" i="3" s="1"/>
  <c r="J58" i="3"/>
  <c r="K58" i="3" s="1"/>
  <c r="J63" i="3"/>
  <c r="K63" i="3" s="1"/>
  <c r="J34" i="3"/>
  <c r="K34" i="3" s="1"/>
  <c r="J38" i="3"/>
  <c r="K38" i="3" s="1"/>
  <c r="J42" i="3"/>
  <c r="K42" i="3" s="1"/>
  <c r="J46" i="3"/>
  <c r="K46" i="3" s="1"/>
  <c r="J50" i="3"/>
  <c r="K50" i="3" s="1"/>
  <c r="J54" i="3"/>
  <c r="K54" i="3" s="1"/>
  <c r="J55" i="3"/>
  <c r="K55" i="3" s="1"/>
  <c r="J61" i="3"/>
  <c r="K61" i="3" s="1"/>
  <c r="J74" i="3"/>
  <c r="K74" i="3" s="1"/>
  <c r="J20" i="3"/>
  <c r="K20" i="3" s="1"/>
  <c r="J37" i="3"/>
  <c r="K37" i="3" s="1"/>
  <c r="J41" i="3"/>
  <c r="K41" i="3" s="1"/>
  <c r="J45" i="3"/>
  <c r="K45" i="3" s="1"/>
  <c r="J53" i="3"/>
  <c r="K53" i="3" s="1"/>
  <c r="J66" i="3"/>
  <c r="K66" i="3" s="1"/>
  <c r="J72" i="3"/>
  <c r="K72" i="3" s="1"/>
  <c r="J73" i="3"/>
  <c r="K73" i="3" s="1"/>
  <c r="J78" i="3"/>
  <c r="K78" i="3" s="1"/>
  <c r="J79" i="3"/>
  <c r="K79" i="3" s="1"/>
  <c r="J22" i="3"/>
  <c r="K22" i="3" s="1"/>
  <c r="J26" i="3"/>
  <c r="K26" i="3" s="1"/>
  <c r="J32" i="3"/>
  <c r="K32" i="3" s="1"/>
  <c r="J36" i="3"/>
  <c r="K36" i="3" s="1"/>
  <c r="J40" i="3"/>
  <c r="K40" i="3" s="1"/>
  <c r="J44" i="3"/>
  <c r="K44" i="3" s="1"/>
  <c r="J65" i="3"/>
  <c r="K65" i="3" s="1"/>
  <c r="J75" i="3"/>
  <c r="K75" i="3" s="1"/>
  <c r="J33" i="3"/>
  <c r="K33" i="3" s="1"/>
  <c r="J49" i="3"/>
  <c r="K49" i="3" s="1"/>
  <c r="J30" i="3"/>
  <c r="K30" i="3" s="1"/>
  <c r="J24" i="3"/>
  <c r="K24" i="3" s="1"/>
  <c r="J76" i="3"/>
  <c r="K76" i="3" s="1"/>
  <c r="J68" i="3"/>
  <c r="K68" i="3" s="1"/>
  <c r="J60" i="3"/>
  <c r="K60" i="3" s="1"/>
  <c r="J52" i="3"/>
  <c r="K52" i="3" s="1"/>
  <c r="J48" i="3"/>
  <c r="K48" i="3" s="1"/>
  <c r="J31" i="3"/>
  <c r="K31" i="3" s="1"/>
  <c r="J6" i="3"/>
  <c r="K6" i="3" s="1"/>
  <c r="J13" i="3"/>
  <c r="K13" i="3" s="1"/>
  <c r="J15" i="3"/>
  <c r="K15" i="3" s="1"/>
  <c r="J21" i="3"/>
  <c r="K21" i="3" s="1"/>
  <c r="J23" i="3"/>
  <c r="K23" i="3" s="1"/>
  <c r="J14" i="3"/>
  <c r="K14" i="3" s="1"/>
  <c r="J16" i="3"/>
  <c r="K16" i="3" s="1"/>
  <c r="J18" i="3"/>
  <c r="K18" i="3" s="1"/>
  <c r="J29" i="3"/>
  <c r="K29" i="3" s="1"/>
  <c r="O2" i="3"/>
  <c r="R6" i="3"/>
  <c r="J11" i="3"/>
  <c r="K11" i="3" s="1"/>
  <c r="J19" i="3"/>
  <c r="K19" i="3" s="1"/>
  <c r="J27" i="3"/>
  <c r="K27" i="3" s="1"/>
  <c r="J7" i="3"/>
  <c r="K7" i="3" s="1"/>
  <c r="J9" i="3"/>
  <c r="K9" i="3" s="1"/>
  <c r="J17" i="3"/>
  <c r="K17" i="3" s="1"/>
  <c r="J25" i="3"/>
  <c r="K25" i="3" s="1"/>
  <c r="N39" i="1"/>
  <c r="N40" i="1"/>
  <c r="N34" i="1"/>
  <c r="C19" i="7"/>
  <c r="D19" i="7"/>
  <c r="I19" i="7"/>
  <c r="AC59" i="1"/>
  <c r="AH59" i="1"/>
  <c r="AD47" i="1"/>
  <c r="AC47" i="1"/>
  <c r="AF47" i="1"/>
  <c r="AJ47" i="1"/>
  <c r="AI66" i="1"/>
  <c r="AE66" i="1"/>
  <c r="R47" i="1"/>
  <c r="AG47" i="1"/>
  <c r="AE59" i="1"/>
  <c r="AI59" i="1"/>
  <c r="AB66" i="1"/>
  <c r="AH66" i="1"/>
  <c r="AG59" i="1"/>
  <c r="AJ59" i="1"/>
  <c r="O47" i="1"/>
  <c r="S47" i="1"/>
  <c r="W46" i="1"/>
  <c r="AE47" i="1"/>
  <c r="AB59" i="1"/>
  <c r="AH47" i="1"/>
  <c r="AD66" i="1"/>
  <c r="AJ66" i="1"/>
  <c r="W47" i="1"/>
  <c r="AB47" i="1"/>
  <c r="Y47" i="1"/>
  <c r="AI47" i="1"/>
  <c r="V47" i="1"/>
  <c r="AF66" i="1"/>
  <c r="AF59" i="1"/>
  <c r="AC66" i="1"/>
  <c r="U47" i="1"/>
  <c r="AD59" i="1"/>
  <c r="AG66" i="1"/>
  <c r="R15" i="12" l="1"/>
  <c r="S15" i="12" s="1"/>
  <c r="U15" i="12" s="1"/>
  <c r="N16" i="12"/>
  <c r="G32" i="12"/>
  <c r="O15" i="12"/>
  <c r="P15" i="12" s="1"/>
  <c r="T15" i="12" s="1"/>
  <c r="M16" i="12"/>
  <c r="I30" i="12" s="1"/>
  <c r="Q16" i="12"/>
  <c r="M17" i="12"/>
  <c r="L17" i="12"/>
  <c r="H31" i="12" s="1"/>
  <c r="N2" i="3"/>
  <c r="AA60" i="1"/>
  <c r="N48" i="1"/>
  <c r="A13" i="1"/>
  <c r="N12" i="1"/>
  <c r="AF60" i="1"/>
  <c r="P48" i="1"/>
  <c r="AG60" i="1"/>
  <c r="AE60" i="1"/>
  <c r="AB48" i="1"/>
  <c r="AG48" i="1"/>
  <c r="AD60" i="1"/>
  <c r="AJ48" i="1"/>
  <c r="AI60" i="1"/>
  <c r="AE48" i="1"/>
  <c r="AH48" i="1"/>
  <c r="Q48" i="1"/>
  <c r="AB60" i="1"/>
  <c r="AI48" i="1"/>
  <c r="AH60" i="1"/>
  <c r="AD48" i="1"/>
  <c r="AF48" i="1"/>
  <c r="AJ60" i="1"/>
  <c r="S48" i="1"/>
  <c r="AC48" i="1"/>
  <c r="AC60" i="1"/>
  <c r="O16" i="12" l="1"/>
  <c r="P16" i="12" s="1"/>
  <c r="T16" i="12" s="1"/>
  <c r="N17" i="12"/>
  <c r="R16" i="12"/>
  <c r="S16" i="12" s="1"/>
  <c r="U16" i="12" s="1"/>
  <c r="Q17" i="12"/>
  <c r="L18" i="12"/>
  <c r="AA61" i="1"/>
  <c r="A14" i="1"/>
  <c r="A15" i="1" s="1"/>
  <c r="N13" i="1"/>
  <c r="A49" i="1"/>
  <c r="O3" i="3"/>
  <c r="P20" i="2"/>
  <c r="P19" i="2"/>
  <c r="P18" i="2"/>
  <c r="O20" i="2"/>
  <c r="O19" i="2"/>
  <c r="O18" i="2"/>
  <c r="E9" i="2"/>
  <c r="E10" i="2" s="1"/>
  <c r="D9" i="2"/>
  <c r="D10" i="2" s="1"/>
  <c r="D14" i="2" s="1"/>
  <c r="AC61" i="1"/>
  <c r="AE61" i="1"/>
  <c r="AG61" i="1"/>
  <c r="AD61" i="1"/>
  <c r="AI61" i="1"/>
  <c r="AB61" i="1"/>
  <c r="AJ61" i="1"/>
  <c r="AF61" i="1"/>
  <c r="AH61" i="1"/>
  <c r="AA49" i="1" l="1"/>
  <c r="M18" i="12"/>
  <c r="I32" i="12" s="1"/>
  <c r="H32" i="12"/>
  <c r="Q18" i="12" s="1"/>
  <c r="I31" i="12"/>
  <c r="N14" i="1"/>
  <c r="N49" i="1"/>
  <c r="N15" i="1"/>
  <c r="A16" i="1"/>
  <c r="A50" i="1"/>
  <c r="AA50" i="1" s="1"/>
  <c r="P16" i="2"/>
  <c r="E16" i="2" s="1"/>
  <c r="G9" i="2"/>
  <c r="E14" i="2"/>
  <c r="O16" i="2"/>
  <c r="D16" i="2" s="1"/>
  <c r="T40" i="3"/>
  <c r="T13" i="3"/>
  <c r="U46" i="3"/>
  <c r="T14" i="3"/>
  <c r="T10" i="3"/>
  <c r="U37" i="3"/>
  <c r="T62" i="3"/>
  <c r="U25" i="3"/>
  <c r="U67" i="3"/>
  <c r="U71" i="3"/>
  <c r="T7" i="3"/>
  <c r="U22" i="3"/>
  <c r="T79" i="3"/>
  <c r="U31" i="3"/>
  <c r="T23" i="3"/>
  <c r="U23" i="3"/>
  <c r="U33" i="3"/>
  <c r="U36" i="3"/>
  <c r="T17" i="3"/>
  <c r="T35" i="3"/>
  <c r="T20" i="3"/>
  <c r="U61" i="3"/>
  <c r="T74" i="3"/>
  <c r="U44" i="3"/>
  <c r="T36" i="3"/>
  <c r="U75" i="3"/>
  <c r="T70" i="3"/>
  <c r="U45" i="3"/>
  <c r="U30" i="3"/>
  <c r="T21" i="3"/>
  <c r="T52" i="3"/>
  <c r="T61" i="3"/>
  <c r="U32" i="3"/>
  <c r="U34" i="3"/>
  <c r="T58" i="3"/>
  <c r="U51" i="3"/>
  <c r="U72" i="3"/>
  <c r="U8" i="3"/>
  <c r="Q3" i="3"/>
  <c r="U9" i="3"/>
  <c r="T9" i="3"/>
  <c r="T27" i="3"/>
  <c r="T63" i="3"/>
  <c r="T31" i="3"/>
  <c r="T32" i="3"/>
  <c r="U76" i="3"/>
  <c r="T45" i="3"/>
  <c r="U10" i="3"/>
  <c r="AK17" i="1"/>
  <c r="U39" i="3"/>
  <c r="U62" i="3"/>
  <c r="U74" i="3"/>
  <c r="T64" i="3"/>
  <c r="U48" i="3"/>
  <c r="T65" i="3"/>
  <c r="U14" i="3"/>
  <c r="U50" i="3"/>
  <c r="U27" i="3"/>
  <c r="T77" i="3"/>
  <c r="T22" i="3"/>
  <c r="T69" i="3"/>
  <c r="T5" i="3"/>
  <c r="U21" i="3"/>
  <c r="U69" i="3"/>
  <c r="T25" i="3"/>
  <c r="T18" i="3"/>
  <c r="T75" i="3"/>
  <c r="U43" i="3"/>
  <c r="U57" i="3"/>
  <c r="U11" i="3"/>
  <c r="T66" i="3"/>
  <c r="U59" i="3"/>
  <c r="T50" i="3"/>
  <c r="T28" i="3"/>
  <c r="U58" i="3"/>
  <c r="T33" i="3"/>
  <c r="T11" i="3"/>
  <c r="U78" i="3"/>
  <c r="U49" i="3"/>
  <c r="U52" i="3"/>
  <c r="T16" i="3"/>
  <c r="T38" i="3"/>
  <c r="T76" i="3"/>
  <c r="U53" i="3"/>
  <c r="U66" i="3"/>
  <c r="U70" i="3"/>
  <c r="T30" i="3"/>
  <c r="U29" i="3"/>
  <c r="T59" i="3"/>
  <c r="T68" i="3"/>
  <c r="T57" i="3"/>
  <c r="T78" i="3"/>
  <c r="U68" i="3"/>
  <c r="T34" i="3"/>
  <c r="U73" i="3"/>
  <c r="T48" i="3"/>
  <c r="U63" i="3"/>
  <c r="T55" i="3"/>
  <c r="U18" i="3"/>
  <c r="T29" i="3"/>
  <c r="U79" i="3"/>
  <c r="U7" i="3"/>
  <c r="U19" i="3"/>
  <c r="T46" i="3"/>
  <c r="T49" i="3"/>
  <c r="U35" i="3"/>
  <c r="T53" i="3"/>
  <c r="T24" i="3"/>
  <c r="U17" i="3"/>
  <c r="U77" i="3"/>
  <c r="T19" i="3"/>
  <c r="U55" i="3"/>
  <c r="U20" i="3"/>
  <c r="T26" i="3"/>
  <c r="T41" i="3"/>
  <c r="U26" i="3"/>
  <c r="R2" i="3"/>
  <c r="T56" i="3"/>
  <c r="T43" i="3"/>
  <c r="T12" i="3"/>
  <c r="T73" i="3"/>
  <c r="U47" i="3"/>
  <c r="U40" i="3"/>
  <c r="U42" i="3"/>
  <c r="T8" i="3"/>
  <c r="U16" i="3"/>
  <c r="AK16" i="1"/>
  <c r="T39" i="3"/>
  <c r="T44" i="3"/>
  <c r="T37" i="3"/>
  <c r="U6" i="3"/>
  <c r="T54" i="3"/>
  <c r="U65" i="3"/>
  <c r="Q2" i="3"/>
  <c r="U15" i="3"/>
  <c r="U12" i="3"/>
  <c r="U41" i="3"/>
  <c r="R3" i="3"/>
  <c r="U13" i="3"/>
  <c r="T15" i="3"/>
  <c r="T51" i="3"/>
  <c r="U5" i="3"/>
  <c r="U38" i="3"/>
  <c r="T42" i="3"/>
  <c r="T47" i="3"/>
  <c r="U56" i="3"/>
  <c r="T67" i="3"/>
  <c r="T6" i="3"/>
  <c r="U60" i="3"/>
  <c r="U28" i="3"/>
  <c r="T60" i="3"/>
  <c r="T71" i="3"/>
  <c r="U64" i="3"/>
  <c r="U54" i="3"/>
  <c r="U24" i="3"/>
  <c r="T72" i="3"/>
  <c r="E23" i="1"/>
  <c r="J23" i="1"/>
  <c r="F28" i="1"/>
  <c r="D28" i="1"/>
  <c r="G23" i="1"/>
  <c r="G29" i="1"/>
  <c r="J28" i="1"/>
  <c r="I23" i="1"/>
  <c r="L29" i="1"/>
  <c r="C28" i="1"/>
  <c r="I28" i="1"/>
  <c r="L28" i="1"/>
  <c r="H29" i="1"/>
  <c r="H28" i="1"/>
  <c r="G28" i="1"/>
  <c r="I29" i="1"/>
  <c r="F23" i="1"/>
  <c r="C29" i="1"/>
  <c r="L23" i="1"/>
  <c r="E28" i="1"/>
  <c r="J29" i="1"/>
  <c r="D29" i="1"/>
  <c r="E29" i="1"/>
  <c r="F29" i="1"/>
  <c r="C39" i="1"/>
  <c r="C40" i="1"/>
  <c r="AE49" i="1"/>
  <c r="AI49" i="1"/>
  <c r="P49" i="1"/>
  <c r="S53" i="1"/>
  <c r="AD49" i="1"/>
  <c r="U48" i="1"/>
  <c r="R53" i="1"/>
  <c r="AL17" i="1"/>
  <c r="Q49" i="1"/>
  <c r="W48" i="1"/>
  <c r="S45" i="1"/>
  <c r="AC49" i="1"/>
  <c r="T46" i="1"/>
  <c r="V48" i="1"/>
  <c r="AF49" i="1"/>
  <c r="O53" i="1"/>
  <c r="Y48" i="1"/>
  <c r="AL16" i="1"/>
  <c r="X46" i="1"/>
  <c r="X45" i="1"/>
  <c r="Q46" i="1"/>
  <c r="T53" i="1"/>
  <c r="AM16" i="1"/>
  <c r="S46" i="1"/>
  <c r="V49" i="1"/>
  <c r="AM17" i="1"/>
  <c r="W49" i="1"/>
  <c r="P45" i="1"/>
  <c r="Y49" i="1"/>
  <c r="R46" i="1"/>
  <c r="AH49" i="1"/>
  <c r="P53" i="1"/>
  <c r="AG49" i="1"/>
  <c r="X53" i="1"/>
  <c r="U49" i="1"/>
  <c r="R45" i="1"/>
  <c r="O49" i="1"/>
  <c r="AB49" i="1"/>
  <c r="AJ49" i="1"/>
  <c r="Q53" i="1"/>
  <c r="O48" i="1"/>
  <c r="N18" i="12" l="1"/>
  <c r="R18" i="12"/>
  <c r="S18" i="12" s="1"/>
  <c r="U18" i="12" s="1"/>
  <c r="O17" i="12"/>
  <c r="P17" i="12" s="1"/>
  <c r="T17" i="12" s="1"/>
  <c r="R17" i="12"/>
  <c r="S17" i="12" s="1"/>
  <c r="U17" i="12" s="1"/>
  <c r="O18" i="12"/>
  <c r="P18" i="12" s="1"/>
  <c r="T18" i="12" s="1"/>
  <c r="AA62" i="1"/>
  <c r="N50" i="1"/>
  <c r="N25" i="1"/>
  <c r="N16" i="1"/>
  <c r="A51" i="1"/>
  <c r="AA51" i="1" s="1"/>
  <c r="H23" i="1"/>
  <c r="L35" i="1"/>
  <c r="I35" i="1"/>
  <c r="F35" i="1"/>
  <c r="E35" i="1"/>
  <c r="D35" i="1"/>
  <c r="G35" i="1"/>
  <c r="S50" i="1"/>
  <c r="X50" i="1"/>
  <c r="AH50" i="1"/>
  <c r="V50" i="1"/>
  <c r="AC50" i="1"/>
  <c r="AI62" i="1"/>
  <c r="U50" i="1"/>
  <c r="AD50" i="1"/>
  <c r="Y50" i="1"/>
  <c r="AH62" i="1"/>
  <c r="AC62" i="1"/>
  <c r="AF62" i="1"/>
  <c r="AD35" i="1"/>
  <c r="AE35" i="1"/>
  <c r="AB50" i="1"/>
  <c r="AD62" i="1"/>
  <c r="AG62" i="1"/>
  <c r="AE50" i="1"/>
  <c r="P50" i="1"/>
  <c r="AB62" i="1"/>
  <c r="Q50" i="1"/>
  <c r="AJ62" i="1"/>
  <c r="AI50" i="1"/>
  <c r="AI35" i="1"/>
  <c r="W50" i="1"/>
  <c r="AE62" i="1"/>
  <c r="AF50" i="1"/>
  <c r="O50" i="1"/>
  <c r="AJ50" i="1"/>
  <c r="AG50" i="1"/>
  <c r="AA63" i="1" l="1"/>
  <c r="N51" i="1"/>
  <c r="N26" i="1"/>
  <c r="N35" i="1"/>
  <c r="I36" i="1"/>
  <c r="G36" i="1"/>
  <c r="F36" i="1"/>
  <c r="D36" i="1"/>
  <c r="E36" i="1"/>
  <c r="L36" i="1"/>
  <c r="O51" i="1"/>
  <c r="S51" i="1"/>
  <c r="P51" i="1"/>
  <c r="AF51" i="1"/>
  <c r="AC63" i="1"/>
  <c r="AG63" i="1"/>
  <c r="AE36" i="1"/>
  <c r="AE63" i="1"/>
  <c r="AJ63" i="1"/>
  <c r="T50" i="1"/>
  <c r="AI51" i="1"/>
  <c r="R51" i="1"/>
  <c r="U51" i="1"/>
  <c r="AC51" i="1"/>
  <c r="AF63" i="1"/>
  <c r="Q51" i="1"/>
  <c r="AD36" i="1"/>
  <c r="AD63" i="1"/>
  <c r="AG51" i="1"/>
  <c r="AH51" i="1"/>
  <c r="AI36" i="1"/>
  <c r="W51" i="1"/>
  <c r="AJ51" i="1"/>
  <c r="AB51" i="1"/>
  <c r="AI63" i="1"/>
  <c r="AH63" i="1"/>
  <c r="AD51" i="1"/>
  <c r="Y51" i="1"/>
  <c r="AB63" i="1"/>
  <c r="AE51" i="1"/>
  <c r="V51" i="1"/>
  <c r="R50" i="1"/>
  <c r="AA64" i="1" l="1"/>
  <c r="N27" i="1"/>
  <c r="N36" i="1"/>
  <c r="K24" i="1"/>
  <c r="F37" i="1"/>
  <c r="E37" i="1"/>
  <c r="G37" i="1"/>
  <c r="L37" i="1"/>
  <c r="I37" i="1"/>
  <c r="D37" i="1"/>
  <c r="AH64" i="1"/>
  <c r="AI64" i="1"/>
  <c r="AJ64" i="1"/>
  <c r="AD64" i="1"/>
  <c r="AG64" i="1"/>
  <c r="AC64" i="1"/>
  <c r="X51" i="1"/>
  <c r="AI24" i="1"/>
  <c r="AE64" i="1"/>
  <c r="AF64" i="1"/>
  <c r="AB64" i="1"/>
  <c r="T51" i="1"/>
  <c r="AI37" i="1"/>
  <c r="N37" i="1" l="1"/>
  <c r="G38" i="1"/>
  <c r="F38" i="1"/>
  <c r="D38" i="1"/>
  <c r="I38" i="1"/>
  <c r="L38" i="1"/>
  <c r="E38" i="1"/>
  <c r="N38" i="1" l="1"/>
  <c r="AK12" i="1"/>
  <c r="AK21" i="1"/>
  <c r="AK14" i="1"/>
  <c r="AK15" i="1"/>
  <c r="AK9" i="1"/>
  <c r="AK11" i="1"/>
  <c r="AK13" i="1"/>
  <c r="AK10" i="1"/>
  <c r="C27" i="1"/>
  <c r="J25" i="1"/>
  <c r="K25" i="1"/>
  <c r="E25" i="1"/>
  <c r="AK37" i="1"/>
  <c r="D27" i="1"/>
  <c r="G25" i="1"/>
  <c r="AK38" i="1"/>
  <c r="I25" i="1"/>
  <c r="J27" i="1"/>
  <c r="L27" i="1"/>
  <c r="AK40" i="1"/>
  <c r="E24" i="1"/>
  <c r="E26" i="1"/>
  <c r="G27" i="1"/>
  <c r="K27" i="1"/>
  <c r="J26" i="1"/>
  <c r="E27" i="1"/>
  <c r="H25" i="1"/>
  <c r="L24" i="1"/>
  <c r="AK36" i="1"/>
  <c r="K26" i="1"/>
  <c r="D25" i="1"/>
  <c r="H26" i="1"/>
  <c r="D26" i="1"/>
  <c r="F24" i="1"/>
  <c r="F27" i="1"/>
  <c r="C25" i="1"/>
  <c r="H27" i="1"/>
  <c r="C26" i="1"/>
  <c r="G26" i="1"/>
  <c r="AK35" i="1"/>
  <c r="J24" i="1"/>
  <c r="AK39" i="1"/>
  <c r="I27" i="1"/>
  <c r="F26" i="1"/>
  <c r="G24" i="1"/>
  <c r="H24" i="1"/>
  <c r="L25" i="1"/>
  <c r="I24" i="1"/>
  <c r="I26" i="1"/>
  <c r="C24" i="1"/>
  <c r="L26" i="1"/>
  <c r="C35" i="1"/>
  <c r="C37" i="1"/>
  <c r="C38" i="1"/>
  <c r="C36" i="1"/>
  <c r="AB40" i="1"/>
  <c r="AG39" i="1"/>
  <c r="AF37" i="1"/>
  <c r="T49" i="1"/>
  <c r="AD26" i="1"/>
  <c r="AI38" i="1"/>
  <c r="AE38" i="1"/>
  <c r="AG24" i="1"/>
  <c r="AI25" i="1"/>
  <c r="AA25" i="1"/>
  <c r="AM39" i="1"/>
  <c r="AH28" i="1"/>
  <c r="AC40" i="1"/>
  <c r="AB35" i="1"/>
  <c r="AE37" i="1"/>
  <c r="AL10" i="1"/>
  <c r="AG28" i="1"/>
  <c r="AB24" i="1"/>
  <c r="AG26" i="1"/>
  <c r="AH25" i="1"/>
  <c r="AA23" i="1"/>
  <c r="S49" i="1"/>
  <c r="AG34" i="1"/>
  <c r="AH38" i="1"/>
  <c r="AM35" i="1"/>
  <c r="AH35" i="1"/>
  <c r="AC25" i="1"/>
  <c r="AI27" i="1"/>
  <c r="AM11" i="1"/>
  <c r="AF38" i="1"/>
  <c r="AD27" i="1"/>
  <c r="AL12" i="1"/>
  <c r="AD23" i="1"/>
  <c r="AE28" i="1"/>
  <c r="AG37" i="1"/>
  <c r="AD29" i="1"/>
  <c r="AC29" i="1"/>
  <c r="X48" i="1"/>
  <c r="AH39" i="1"/>
  <c r="AB27" i="1"/>
  <c r="AC24" i="1"/>
  <c r="T47" i="1"/>
  <c r="AL40" i="1"/>
  <c r="T48" i="1"/>
  <c r="AL39" i="1"/>
  <c r="AH34" i="1"/>
  <c r="P47" i="1"/>
  <c r="AC37" i="1"/>
  <c r="AG40" i="1"/>
  <c r="AE26" i="1"/>
  <c r="AB38" i="1"/>
  <c r="AG27" i="1"/>
  <c r="AG25" i="1"/>
  <c r="AD24" i="1"/>
  <c r="AM34" i="1"/>
  <c r="AD25" i="1"/>
  <c r="AA39" i="1"/>
  <c r="AF25" i="1"/>
  <c r="AB26" i="1"/>
  <c r="AB36" i="1"/>
  <c r="AF24" i="1"/>
  <c r="AD28" i="1"/>
  <c r="X49" i="1"/>
  <c r="AA27" i="1"/>
  <c r="AL11" i="1"/>
  <c r="AB23" i="1"/>
  <c r="AG36" i="1"/>
  <c r="AL34" i="1"/>
  <c r="AC39" i="1"/>
  <c r="AC27" i="1"/>
  <c r="AA24" i="1"/>
  <c r="AM40" i="1"/>
  <c r="AF26" i="1"/>
  <c r="AA28" i="1"/>
  <c r="AL38" i="1"/>
  <c r="AB25" i="1"/>
  <c r="AD37" i="1"/>
  <c r="AB39" i="1"/>
  <c r="AH24" i="1"/>
  <c r="AM37" i="1"/>
  <c r="AM12" i="1"/>
  <c r="AH29" i="1"/>
  <c r="AA40" i="1"/>
  <c r="AM9" i="1"/>
  <c r="AG29" i="1"/>
  <c r="AL9" i="1"/>
  <c r="AC23" i="1"/>
  <c r="AC35" i="1"/>
  <c r="AC28" i="1"/>
  <c r="AA37" i="1"/>
  <c r="AH37" i="1"/>
  <c r="AH23" i="1"/>
  <c r="AL15" i="1"/>
  <c r="AM10" i="1"/>
  <c r="AF39" i="1"/>
  <c r="AA35" i="1"/>
  <c r="AC38" i="1"/>
  <c r="AF29" i="1"/>
  <c r="AB37" i="1"/>
  <c r="AL36" i="1"/>
  <c r="AL13" i="1"/>
  <c r="AB29" i="1"/>
  <c r="AH36" i="1"/>
  <c r="AM13" i="1"/>
  <c r="AA29" i="1"/>
  <c r="AH40" i="1"/>
  <c r="AL35" i="1"/>
  <c r="AC26" i="1"/>
  <c r="AA36" i="1"/>
  <c r="AE23" i="1"/>
  <c r="AG23" i="1"/>
  <c r="AM38" i="1"/>
  <c r="AF27" i="1"/>
  <c r="Q47" i="1"/>
  <c r="AE24" i="1"/>
  <c r="AL37" i="1"/>
  <c r="AB28" i="1"/>
  <c r="AL14" i="1"/>
  <c r="AL21" i="1"/>
  <c r="AD38" i="1"/>
  <c r="AE25" i="1"/>
  <c r="AE27" i="1"/>
  <c r="AG35" i="1"/>
  <c r="AH26" i="1"/>
  <c r="AH27" i="1"/>
  <c r="R48" i="1"/>
  <c r="AG38" i="1"/>
  <c r="AF28" i="1"/>
  <c r="AM15" i="1"/>
  <c r="AC34" i="1"/>
  <c r="AM36" i="1"/>
  <c r="AC36" i="1"/>
  <c r="AE29" i="1"/>
  <c r="R49" i="1"/>
  <c r="AF40" i="1"/>
  <c r="X47" i="1"/>
  <c r="AA38" i="1"/>
  <c r="AI26" i="1"/>
  <c r="AM14" i="1"/>
  <c r="AA26" i="1"/>
  <c r="AN38" i="1" l="1"/>
  <c r="AN34" i="1"/>
  <c r="AN36" i="1"/>
  <c r="AN40" i="1"/>
  <c r="AN37" i="1"/>
  <c r="AN35" i="1"/>
  <c r="AN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2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 = Liquid, 2 = Vapour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 = Liquid, 2 = Vapour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2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 = Liquid, 2 = Vapour</t>
        </r>
      </text>
    </comment>
  </commentList>
</comments>
</file>

<file path=xl/sharedStrings.xml><?xml version="1.0" encoding="utf-8"?>
<sst xmlns="http://schemas.openxmlformats.org/spreadsheetml/2006/main" count="477" uniqueCount="282">
  <si>
    <t>Component</t>
  </si>
  <si>
    <t>PR78 VP</t>
  </si>
  <si>
    <t>PR78 H</t>
  </si>
  <si>
    <t>PR76 VP</t>
  </si>
  <si>
    <t>PR76 H</t>
  </si>
  <si>
    <t>SRK VP</t>
  </si>
  <si>
    <t>SRK H</t>
  </si>
  <si>
    <t>RK VP</t>
  </si>
  <si>
    <t>RK H</t>
  </si>
  <si>
    <t>LK VP</t>
  </si>
  <si>
    <t>Press</t>
  </si>
  <si>
    <t>Ideal VP</t>
  </si>
  <si>
    <t>Correct Values</t>
  </si>
  <si>
    <t>Ideal H</t>
  </si>
  <si>
    <t>LK H</t>
  </si>
  <si>
    <t>S Test</t>
  </si>
  <si>
    <t>n-Butane</t>
  </si>
  <si>
    <t>Vapour Enthalpy</t>
  </si>
  <si>
    <t>Liquid Enthalpy</t>
  </si>
  <si>
    <t>Vapour Pressure</t>
  </si>
  <si>
    <t>CS</t>
  </si>
  <si>
    <t>GS</t>
  </si>
  <si>
    <t>PRSV</t>
  </si>
  <si>
    <t>Wilson</t>
  </si>
  <si>
    <t>Equil K</t>
  </si>
  <si>
    <t>Chao Seader</t>
  </si>
  <si>
    <t>Antoine</t>
  </si>
  <si>
    <t>LeeKesler</t>
  </si>
  <si>
    <t>PR76</t>
  </si>
  <si>
    <t>SRK</t>
  </si>
  <si>
    <t>PR78</t>
  </si>
  <si>
    <t>RK</t>
  </si>
  <si>
    <t>Grayson Streed</t>
  </si>
  <si>
    <t>Ideal</t>
  </si>
  <si>
    <t>LK</t>
  </si>
  <si>
    <t>Propane</t>
  </si>
  <si>
    <t>Tbr</t>
  </si>
  <si>
    <t>Tb</t>
  </si>
  <si>
    <t>Tc</t>
  </si>
  <si>
    <t>Pc</t>
  </si>
  <si>
    <t>B=b1+b2Pc+b3ln(Pc)</t>
  </si>
  <si>
    <t>C=c1+c2Pc+c3ln(Pc)</t>
  </si>
  <si>
    <t>D=d1+d2Pc+d3ln(Pc)</t>
  </si>
  <si>
    <t>Coefficients</t>
  </si>
  <si>
    <t>Values</t>
  </si>
  <si>
    <t>A</t>
  </si>
  <si>
    <r>
      <t>b</t>
    </r>
    <r>
      <rPr>
        <vertAlign val="subscript"/>
        <sz val="11"/>
        <color theme="1"/>
        <rFont val="Calibri"/>
        <family val="2"/>
        <scheme val="minor"/>
      </rPr>
      <t>1</t>
    </r>
  </si>
  <si>
    <r>
      <t>b</t>
    </r>
    <r>
      <rPr>
        <vertAlign val="subscript"/>
        <sz val="11"/>
        <color theme="1"/>
        <rFont val="Calibri"/>
        <family val="2"/>
        <scheme val="minor"/>
      </rPr>
      <t>2</t>
    </r>
  </si>
  <si>
    <r>
      <t>b</t>
    </r>
    <r>
      <rPr>
        <vertAlign val="subscript"/>
        <sz val="11"/>
        <color theme="1"/>
        <rFont val="Calibri"/>
        <family val="2"/>
        <scheme val="minor"/>
      </rPr>
      <t>3</t>
    </r>
  </si>
  <si>
    <r>
      <t>c</t>
    </r>
    <r>
      <rPr>
        <vertAlign val="subscript"/>
        <sz val="11"/>
        <color theme="1"/>
        <rFont val="Calibri"/>
        <family val="2"/>
        <scheme val="minor"/>
      </rPr>
      <t>1</t>
    </r>
  </si>
  <si>
    <r>
      <t>c</t>
    </r>
    <r>
      <rPr>
        <vertAlign val="subscript"/>
        <sz val="11"/>
        <color theme="1"/>
        <rFont val="Calibri"/>
        <family val="2"/>
        <scheme val="minor"/>
      </rPr>
      <t>2</t>
    </r>
  </si>
  <si>
    <r>
      <t>c</t>
    </r>
    <r>
      <rPr>
        <vertAlign val="subscript"/>
        <sz val="11"/>
        <color theme="1"/>
        <rFont val="Calibri"/>
        <family val="2"/>
        <scheme val="minor"/>
      </rPr>
      <t>3</t>
    </r>
  </si>
  <si>
    <r>
      <t>d</t>
    </r>
    <r>
      <rPr>
        <vertAlign val="subscript"/>
        <sz val="11"/>
        <color theme="1"/>
        <rFont val="Calibri"/>
        <family val="2"/>
        <scheme val="minor"/>
      </rPr>
      <t>1</t>
    </r>
  </si>
  <si>
    <r>
      <t>d</t>
    </r>
    <r>
      <rPr>
        <vertAlign val="subscript"/>
        <sz val="11"/>
        <color theme="1"/>
        <rFont val="Calibri"/>
        <family val="2"/>
        <scheme val="minor"/>
      </rPr>
      <t>2</t>
    </r>
  </si>
  <si>
    <r>
      <t>d</t>
    </r>
    <r>
      <rPr>
        <vertAlign val="subscript"/>
        <sz val="11"/>
        <color theme="1"/>
        <rFont val="Calibri"/>
        <family val="2"/>
        <scheme val="minor"/>
      </rPr>
      <t>3</t>
    </r>
  </si>
  <si>
    <t>Mehmndoust</t>
  </si>
  <si>
    <t>Sanjari</t>
  </si>
  <si>
    <t>Vatani</t>
  </si>
  <si>
    <t>AARD%</t>
  </si>
  <si>
    <t>ARD%</t>
  </si>
  <si>
    <t>RMSD</t>
  </si>
  <si>
    <t>Liu [22]</t>
  </si>
  <si>
    <t>V-95 [20]</t>
  </si>
  <si>
    <t>−3.091</t>
  </si>
  <si>
    <t>V-79 [21]</t>
  </si>
  <si>
    <t>Riedel [13]</t>
  </si>
  <si>
    <t>−2.121</t>
  </si>
  <si>
    <t>Chen [15]</t>
  </si>
  <si>
    <t>−0.982</t>
  </si>
  <si>
    <t>ZNY [17]</t>
  </si>
  <si>
    <t>Trouton [19]</t>
  </si>
  <si>
    <t>This Study</t>
  </si>
  <si>
    <t>−0.025</t>
  </si>
  <si>
    <t>Vetere 79</t>
  </si>
  <si>
    <t>C</t>
  </si>
  <si>
    <t>Amix</t>
  </si>
  <si>
    <t>Bmix</t>
  </si>
  <si>
    <t>BarA</t>
  </si>
  <si>
    <t>MolFrac</t>
  </si>
  <si>
    <t>CritT</t>
  </si>
  <si>
    <t>CritP</t>
  </si>
  <si>
    <t>Omega</t>
  </si>
  <si>
    <t>Kappa</t>
  </si>
  <si>
    <t>Alpha</t>
  </si>
  <si>
    <t>ac</t>
  </si>
  <si>
    <t>a</t>
  </si>
  <si>
    <t>b</t>
  </si>
  <si>
    <t>B</t>
  </si>
  <si>
    <t>Hydrogen</t>
  </si>
  <si>
    <t>Nitrogen</t>
  </si>
  <si>
    <t>CO</t>
  </si>
  <si>
    <t>Oxygen</t>
  </si>
  <si>
    <t>Methane</t>
  </si>
  <si>
    <t>Ethylene</t>
  </si>
  <si>
    <t>Ethane</t>
  </si>
  <si>
    <t>CO2</t>
  </si>
  <si>
    <t>H2S</t>
  </si>
  <si>
    <t>Propene</t>
  </si>
  <si>
    <t>i-Butane</t>
  </si>
  <si>
    <t>i-Pentane</t>
  </si>
  <si>
    <t>n-Pentane</t>
  </si>
  <si>
    <t>Quasi38</t>
  </si>
  <si>
    <t>Quasi45</t>
  </si>
  <si>
    <t>Quasi55</t>
  </si>
  <si>
    <t>Quasi65</t>
  </si>
  <si>
    <t>Quasi75</t>
  </si>
  <si>
    <t>Quasi85</t>
  </si>
  <si>
    <t>Quasi95</t>
  </si>
  <si>
    <t>Quasi105</t>
  </si>
  <si>
    <t>Quasi115</t>
  </si>
  <si>
    <t>Quasi125</t>
  </si>
  <si>
    <t>Quasi135</t>
  </si>
  <si>
    <t>Quasi145</t>
  </si>
  <si>
    <t>Quasi155</t>
  </si>
  <si>
    <t>Quasi165</t>
  </si>
  <si>
    <t>Quasi175</t>
  </si>
  <si>
    <t>Quasi185</t>
  </si>
  <si>
    <t>Quasi195</t>
  </si>
  <si>
    <t>Quasi205</t>
  </si>
  <si>
    <t>Quasi215</t>
  </si>
  <si>
    <t>Quasi225</t>
  </si>
  <si>
    <t>Quasi235</t>
  </si>
  <si>
    <t>Quasi245</t>
  </si>
  <si>
    <t>Quasi255</t>
  </si>
  <si>
    <t>Quasi265</t>
  </si>
  <si>
    <t>Quasi275</t>
  </si>
  <si>
    <t>Quasi285</t>
  </si>
  <si>
    <t>Quasi295</t>
  </si>
  <si>
    <t>Quasi305</t>
  </si>
  <si>
    <t>Quasi315</t>
  </si>
  <si>
    <t>Quasi325</t>
  </si>
  <si>
    <t>Quasi335</t>
  </si>
  <si>
    <t>Quasi345</t>
  </si>
  <si>
    <t>Quasi355</t>
  </si>
  <si>
    <t>Quasi365</t>
  </si>
  <si>
    <t>Quasi375</t>
  </si>
  <si>
    <t>Quasi385</t>
  </si>
  <si>
    <t>Quasi395</t>
  </si>
  <si>
    <t>Quasi405</t>
  </si>
  <si>
    <t>Quasi415</t>
  </si>
  <si>
    <t>Quasi425</t>
  </si>
  <si>
    <t>Quasi435</t>
  </si>
  <si>
    <t>Quasi445</t>
  </si>
  <si>
    <t>Quasi460</t>
  </si>
  <si>
    <t>Quasi480</t>
  </si>
  <si>
    <t>Quasi500</t>
  </si>
  <si>
    <t>Quasi520</t>
  </si>
  <si>
    <t>Quasi540</t>
  </si>
  <si>
    <t>Quasi560</t>
  </si>
  <si>
    <t>Quasi580</t>
  </si>
  <si>
    <t>Quasi600</t>
  </si>
  <si>
    <t>Quasi620</t>
  </si>
  <si>
    <t>Quasi640</t>
  </si>
  <si>
    <t>Quasi660</t>
  </si>
  <si>
    <t>Quasi680</t>
  </si>
  <si>
    <t>Quasi700</t>
  </si>
  <si>
    <t>Quasi720</t>
  </si>
  <si>
    <t>Quasi740</t>
  </si>
  <si>
    <t>Quasi775</t>
  </si>
  <si>
    <t>Quasi825</t>
  </si>
  <si>
    <t>Quasi875</t>
  </si>
  <si>
    <t>Simple</t>
  </si>
  <si>
    <t>H2O</t>
  </si>
  <si>
    <t>Mixture EquiK Values</t>
  </si>
  <si>
    <t>Quasi38*</t>
  </si>
  <si>
    <t>Quasi45*</t>
  </si>
  <si>
    <t>Quasi55*</t>
  </si>
  <si>
    <t>Quasi65*</t>
  </si>
  <si>
    <t>Quasi75*</t>
  </si>
  <si>
    <t>Quasi85*</t>
  </si>
  <si>
    <t>Quasi95*</t>
  </si>
  <si>
    <t>Quasi105*</t>
  </si>
  <si>
    <t>Quasi115*</t>
  </si>
  <si>
    <t>Quasi125*</t>
  </si>
  <si>
    <t>Quasi135*</t>
  </si>
  <si>
    <t>Quasi145*</t>
  </si>
  <si>
    <t>Quasi155*</t>
  </si>
  <si>
    <t>Quasi165*</t>
  </si>
  <si>
    <t>Quasi175*</t>
  </si>
  <si>
    <t>Quasi185*</t>
  </si>
  <si>
    <t>Quasi195*</t>
  </si>
  <si>
    <t>Quasi205*</t>
  </si>
  <si>
    <t>Quasi215*</t>
  </si>
  <si>
    <t>Quasi225*</t>
  </si>
  <si>
    <t>Quasi235*</t>
  </si>
  <si>
    <t>Quasi245*</t>
  </si>
  <si>
    <t>Quasi255*</t>
  </si>
  <si>
    <t>Quasi265*</t>
  </si>
  <si>
    <t>Quasi275*</t>
  </si>
  <si>
    <t>Quasi285*</t>
  </si>
  <si>
    <t>Quasi295*</t>
  </si>
  <si>
    <t>Quasi305*</t>
  </si>
  <si>
    <t>Quasi315*</t>
  </si>
  <si>
    <t>Quasi325*</t>
  </si>
  <si>
    <t>Quasi335*</t>
  </si>
  <si>
    <t>Quasi345*</t>
  </si>
  <si>
    <t>Quasi355*</t>
  </si>
  <si>
    <t>Quasi365*</t>
  </si>
  <si>
    <t>Quasi375*</t>
  </si>
  <si>
    <t>Quasi385*</t>
  </si>
  <si>
    <t>Quasi395*</t>
  </si>
  <si>
    <t>Quasi405*</t>
  </si>
  <si>
    <t>Quasi415*</t>
  </si>
  <si>
    <t>Quasi425*</t>
  </si>
  <si>
    <t>Quasi435*</t>
  </si>
  <si>
    <t>Quasi445*</t>
  </si>
  <si>
    <t>Quasi460*</t>
  </si>
  <si>
    <t>Quasi480*</t>
  </si>
  <si>
    <t>Quasi500*</t>
  </si>
  <si>
    <t>Quasi520*</t>
  </si>
  <si>
    <t>Quasi540*</t>
  </si>
  <si>
    <t>Quasi560*</t>
  </si>
  <si>
    <t>Quasi580*</t>
  </si>
  <si>
    <t>Quasi600*</t>
  </si>
  <si>
    <t>Quasi620*</t>
  </si>
  <si>
    <t>Quasi640*</t>
  </si>
  <si>
    <t>Quasi660*</t>
  </si>
  <si>
    <t>Quasi680*</t>
  </si>
  <si>
    <t>Quasi700*</t>
  </si>
  <si>
    <t>Quasi720*</t>
  </si>
  <si>
    <t>Quasi740*</t>
  </si>
  <si>
    <t>Quasi775*</t>
  </si>
  <si>
    <t>Quasi825*</t>
  </si>
  <si>
    <t>Quasi875*</t>
  </si>
  <si>
    <t>T</t>
  </si>
  <si>
    <t>Method</t>
  </si>
  <si>
    <t>Comp</t>
  </si>
  <si>
    <t>P</t>
  </si>
  <si>
    <t>Temp</t>
  </si>
  <si>
    <t>Liq Enthalpy</t>
  </si>
  <si>
    <t>Should be Compressible Liquid</t>
  </si>
  <si>
    <t>Tr</t>
  </si>
  <si>
    <t>Pr</t>
  </si>
  <si>
    <t xml:space="preserve">Biutane </t>
  </si>
  <si>
    <t>Crit T</t>
  </si>
  <si>
    <t>Crit P</t>
  </si>
  <si>
    <t xml:space="preserve">bar </t>
  </si>
  <si>
    <t>K</t>
  </si>
  <si>
    <t>Z - Table</t>
  </si>
  <si>
    <t>HDep Table</t>
  </si>
  <si>
    <t>Vapour</t>
  </si>
  <si>
    <t>Z0</t>
  </si>
  <si>
    <t>Z1</t>
  </si>
  <si>
    <t>(Not Zr)</t>
  </si>
  <si>
    <t>TR</t>
  </si>
  <si>
    <t>Vap</t>
  </si>
  <si>
    <t>b1</t>
  </si>
  <si>
    <t>b2</t>
  </si>
  <si>
    <t>Z</t>
  </si>
  <si>
    <t>b3</t>
  </si>
  <si>
    <t>b4</t>
  </si>
  <si>
    <t>HDep</t>
  </si>
  <si>
    <t>c1</t>
  </si>
  <si>
    <t>c2</t>
  </si>
  <si>
    <t>c3</t>
  </si>
  <si>
    <t>c4</t>
  </si>
  <si>
    <t xml:space="preserve"> Cv Dep</t>
  </si>
  <si>
    <t>d1</t>
  </si>
  <si>
    <t>(dpr/dtr)vr</t>
  </si>
  <si>
    <t>d2</t>
  </si>
  <si>
    <t>(dpr/dvr)Tr</t>
  </si>
  <si>
    <t>beta</t>
  </si>
  <si>
    <t>Cp Dep</t>
  </si>
  <si>
    <t>gamma</t>
  </si>
  <si>
    <t>D</t>
  </si>
  <si>
    <t>t</t>
  </si>
  <si>
    <t>p</t>
  </si>
  <si>
    <t>Zc</t>
  </si>
  <si>
    <t>Vr0</t>
  </si>
  <si>
    <t>Vr1</t>
  </si>
  <si>
    <t>HDep0</t>
  </si>
  <si>
    <t>HDep1</t>
  </si>
  <si>
    <t>SDep0</t>
  </si>
  <si>
    <t>SDep1</t>
  </si>
  <si>
    <t>HDepC</t>
  </si>
  <si>
    <t>SDepC</t>
  </si>
  <si>
    <t>Hdep</t>
  </si>
  <si>
    <t>Sdep</t>
  </si>
  <si>
    <t>PC</t>
  </si>
  <si>
    <t>E0</t>
  </si>
  <si>
    <t>E1</t>
  </si>
  <si>
    <t>M-E-Ketone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</si>
</sst>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(* #,##0.00_);_(* \(#,##0.00\);_(* &quot;-&quot;??_);_(@_)"/>
    <numFmt numFmtId="165" formatCode="0.0"/>
    <numFmt numFmtId="166" formatCode="0.000"/>
    <numFmt numFmtId="167" formatCode="0.0000"/>
    <numFmt numFmtId="168" formatCode="0.000000"/>
    <numFmt numFmtId="169" formatCode="0.00000"/>
    <numFmt numFmtId="170" formatCode="_-* #,##0_-;\-* #,##0_-;_-* &quot;-&quot;??_-;_-@_-"/>
    <numFmt numFmtId="171" formatCode="_-* #,##0.00000_-;\-* #,##0.00000_-;_-* &quot;-&quot;?????_-;_-@_-"/>
    <numFmt numFmtId="172" formatCode="_-* #,##0.00000_-;\-* #,##0.00000_-;_-* &quot;-&quot;??_-;_-@_-"/>
    <numFmt numFmtId="173" formatCode="0.00000000"/>
    <numFmt numFmtId="174" formatCode="_-* #,##0.000_-;\-* #,##0.000_-;_-* &quot;-&quot;??_-;_-@_-"/>
    <numFmt numFmtId="175" formatCode="_-* #,##0.0000_-;\-* #,##0.0000_-;_-* &quot;-&quot;??_-;_-@_-"/>
    <numFmt numFmtId="176" formatCode="0.0000000"/>
    <numFmt numFmtId="177" formatCode="0.0000E+00"/>
    <numFmt numFmtId="178" formatCode="0.00000E+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164" fontId="5" fillId="0" borderId="0" applyFont="0" applyFill="0" applyBorder="0" applyAlignment="0" applyProtection="0"/>
  </cellStyleXfs>
  <cellXfs count="72">
    <xf numFmtId="0" fontId="0" fillId="0" borderId="0" xfId="0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/>
    <xf numFmtId="167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165" fontId="0" fillId="0" borderId="0" xfId="0" applyNumberFormat="1"/>
    <xf numFmtId="0" fontId="0" fillId="0" borderId="0" xfId="0" quotePrefix="1"/>
    <xf numFmtId="167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4" fillId="0" borderId="0" xfId="1" applyAlignment="1">
      <alignment vertical="center" wrapText="1"/>
    </xf>
    <xf numFmtId="166" fontId="0" fillId="0" borderId="0" xfId="0" applyNumberFormat="1"/>
    <xf numFmtId="164" fontId="0" fillId="0" borderId="0" xfId="2" applyFont="1"/>
    <xf numFmtId="2" fontId="0" fillId="0" borderId="0" xfId="0" applyNumberFormat="1"/>
    <xf numFmtId="168" fontId="0" fillId="0" borderId="0" xfId="0" applyNumberFormat="1"/>
    <xf numFmtId="11" fontId="0" fillId="0" borderId="0" xfId="0" applyNumberFormat="1"/>
    <xf numFmtId="1" fontId="0" fillId="0" borderId="0" xfId="0" applyNumberFormat="1"/>
    <xf numFmtId="165" fontId="0" fillId="2" borderId="0" xfId="0" applyNumberFormat="1" applyFill="1" applyAlignment="1">
      <alignment horizontal="center"/>
    </xf>
    <xf numFmtId="1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69" fontId="0" fillId="0" borderId="0" xfId="0" applyNumberFormat="1"/>
    <xf numFmtId="2" fontId="0" fillId="0" borderId="0" xfId="2" applyNumberFormat="1" applyFont="1"/>
    <xf numFmtId="0" fontId="6" fillId="3" borderId="0" xfId="0" applyFont="1" applyFill="1"/>
    <xf numFmtId="169" fontId="6" fillId="3" borderId="0" xfId="0" applyNumberFormat="1" applyFont="1" applyFill="1"/>
    <xf numFmtId="167" fontId="6" fillId="3" borderId="0" xfId="0" applyNumberFormat="1" applyFont="1" applyFill="1"/>
    <xf numFmtId="167" fontId="6" fillId="3" borderId="0" xfId="0" applyNumberFormat="1" applyFont="1" applyFill="1" applyAlignment="1">
      <alignment horizontal="center"/>
    </xf>
    <xf numFmtId="2" fontId="6" fillId="3" borderId="0" xfId="0" applyNumberFormat="1" applyFont="1" applyFill="1"/>
    <xf numFmtId="2" fontId="6" fillId="3" borderId="0" xfId="2" applyNumberFormat="1" applyFont="1" applyFill="1"/>
    <xf numFmtId="0" fontId="0" fillId="3" borderId="0" xfId="0" applyFill="1"/>
    <xf numFmtId="169" fontId="0" fillId="3" borderId="0" xfId="0" applyNumberFormat="1" applyFill="1"/>
    <xf numFmtId="167" fontId="0" fillId="3" borderId="0" xfId="0" applyNumberFormat="1" applyFill="1"/>
    <xf numFmtId="167" fontId="0" fillId="3" borderId="0" xfId="0" applyNumberFormat="1" applyFill="1" applyAlignment="1">
      <alignment horizontal="center"/>
    </xf>
    <xf numFmtId="2" fontId="0" fillId="3" borderId="0" xfId="0" applyNumberFormat="1" applyFill="1"/>
    <xf numFmtId="2" fontId="0" fillId="3" borderId="0" xfId="2" applyNumberFormat="1" applyFont="1" applyFill="1"/>
    <xf numFmtId="165" fontId="0" fillId="0" borderId="0" xfId="0" applyNumberFormat="1" applyAlignment="1">
      <alignment horizontal="left"/>
    </xf>
    <xf numFmtId="170" fontId="0" fillId="0" borderId="0" xfId="2" applyNumberFormat="1" applyFont="1" applyAlignment="1">
      <alignment horizontal="center"/>
    </xf>
    <xf numFmtId="165" fontId="0" fillId="0" borderId="0" xfId="0" applyNumberFormat="1" applyAlignment="1">
      <alignment horizontal="center" wrapText="1"/>
    </xf>
    <xf numFmtId="171" fontId="0" fillId="0" borderId="0" xfId="0" applyNumberFormat="1"/>
    <xf numFmtId="164" fontId="0" fillId="0" borderId="0" xfId="0" applyNumberFormat="1"/>
    <xf numFmtId="172" fontId="0" fillId="0" borderId="0" xfId="2" applyNumberFormat="1" applyFont="1"/>
    <xf numFmtId="166" fontId="0" fillId="0" borderId="0" xfId="2" applyNumberFormat="1" applyFont="1"/>
    <xf numFmtId="173" fontId="0" fillId="0" borderId="0" xfId="0" applyNumberFormat="1"/>
    <xf numFmtId="172" fontId="0" fillId="0" borderId="0" xfId="0" applyNumberFormat="1"/>
    <xf numFmtId="2" fontId="0" fillId="0" borderId="0" xfId="2" applyNumberFormat="1" applyFont="1" applyAlignment="1">
      <alignment wrapText="1"/>
    </xf>
    <xf numFmtId="164" fontId="0" fillId="0" borderId="0" xfId="2" applyFont="1" applyAlignment="1">
      <alignment vertical="top" wrapText="1"/>
    </xf>
    <xf numFmtId="164" fontId="0" fillId="0" borderId="0" xfId="2" applyNumberFormat="1" applyFont="1" applyAlignment="1">
      <alignment wrapText="1"/>
    </xf>
    <xf numFmtId="175" fontId="0" fillId="0" borderId="0" xfId="0" applyNumberFormat="1"/>
    <xf numFmtId="176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0" borderId="0" xfId="0" applyFont="1"/>
    <xf numFmtId="174" fontId="0" fillId="0" borderId="0" xfId="2" applyNumberFormat="1" applyFont="1" applyAlignment="1">
      <alignment wrapText="1"/>
    </xf>
    <xf numFmtId="166" fontId="0" fillId="0" borderId="0" xfId="2" applyNumberFormat="1" applyFont="1" applyAlignment="1">
      <alignment wrapText="1"/>
    </xf>
    <xf numFmtId="174" fontId="0" fillId="0" borderId="0" xfId="2" applyNumberFormat="1" applyFont="1"/>
    <xf numFmtId="172" fontId="0" fillId="3" borderId="0" xfId="2" applyNumberFormat="1" applyFont="1" applyFill="1"/>
    <xf numFmtId="0" fontId="0" fillId="3" borderId="0" xfId="0" applyFill="1" applyAlignment="1">
      <alignment horizontal="center"/>
    </xf>
    <xf numFmtId="168" fontId="0" fillId="3" borderId="0" xfId="0" applyNumberFormat="1" applyFill="1"/>
    <xf numFmtId="174" fontId="0" fillId="3" borderId="0" xfId="2" applyNumberFormat="1" applyFont="1" applyFill="1" applyAlignment="1">
      <alignment wrapText="1"/>
    </xf>
    <xf numFmtId="172" fontId="0" fillId="3" borderId="0" xfId="0" applyNumberFormat="1" applyFill="1"/>
    <xf numFmtId="166" fontId="0" fillId="3" borderId="0" xfId="2" applyNumberFormat="1" applyFont="1" applyFill="1" applyAlignment="1">
      <alignment wrapText="1"/>
    </xf>
    <xf numFmtId="2" fontId="0" fillId="3" borderId="0" xfId="2" applyNumberFormat="1" applyFont="1" applyFill="1" applyAlignment="1">
      <alignment wrapText="1"/>
    </xf>
    <xf numFmtId="175" fontId="0" fillId="3" borderId="0" xfId="0" applyNumberFormat="1" applyFill="1"/>
    <xf numFmtId="177" fontId="0" fillId="0" borderId="0" xfId="0" applyNumberFormat="1"/>
    <xf numFmtId="178" fontId="0" fillId="0" borderId="0" xfId="0" applyNumberFormat="1"/>
    <xf numFmtId="168" fontId="0" fillId="0" borderId="0" xfId="0" applyNumberFormat="1" applyAlignment="1">
      <alignment horizontal="center"/>
    </xf>
    <xf numFmtId="164" fontId="0" fillId="0" borderId="0" xfId="2" applyNumberFormat="1" applyFont="1"/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Pressure Response'!$B$9:$B$19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'Test Pressure Response'!$J$9:$J$19</c:f>
              <c:numCache>
                <c:formatCode>_-* #,##0_-;\-* #,##0_-;_-* "-"??_-;_-@_-</c:formatCode>
                <c:ptCount val="11"/>
                <c:pt idx="0">
                  <c:v>-144319.28848734088</c:v>
                </c:pt>
                <c:pt idx="1">
                  <c:v>-144310.83245755103</c:v>
                </c:pt>
                <c:pt idx="2">
                  <c:v>-144302.35935997506</c:v>
                </c:pt>
                <c:pt idx="3">
                  <c:v>-144293.88362324584</c:v>
                </c:pt>
                <c:pt idx="4">
                  <c:v>-144285.39963704365</c:v>
                </c:pt>
                <c:pt idx="5">
                  <c:v>-144276.9145582428</c:v>
                </c:pt>
                <c:pt idx="6">
                  <c:v>-144268.41329721245</c:v>
                </c:pt>
                <c:pt idx="7">
                  <c:v>-144259.9106093153</c:v>
                </c:pt>
                <c:pt idx="8">
                  <c:v>-144251.40263680185</c:v>
                </c:pt>
                <c:pt idx="9">
                  <c:v>-144242.8885074369</c:v>
                </c:pt>
                <c:pt idx="10">
                  <c:v>-144234.36962928544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77-41F4-A36F-4F1E65A9748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Pressure Response'!$B$9:$B$19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'Test Pressure Response'!$O$9:$O$19</c:f>
              <c:numCache>
                <c:formatCode>_-* #,##0_-;\-* #,##0_-;_-* "-"??_-;_-@_-</c:formatCode>
                <c:ptCount val="11"/>
                <c:pt idx="0">
                  <c:v>-147970.827197131</c:v>
                </c:pt>
                <c:pt idx="1">
                  <c:v>-147967.71984764538</c:v>
                </c:pt>
                <c:pt idx="2">
                  <c:v>-147964.59164900519</c:v>
                </c:pt>
                <c:pt idx="3">
                  <c:v>-147961.44279853714</c:v>
                </c:pt>
                <c:pt idx="4">
                  <c:v>-147958.27349072587</c:v>
                </c:pt>
                <c:pt idx="5">
                  <c:v>-147955.08391727725</c:v>
                </c:pt>
                <c:pt idx="6">
                  <c:v>-147951.87426717248</c:v>
                </c:pt>
                <c:pt idx="7">
                  <c:v>-147948.64472671971</c:v>
                </c:pt>
                <c:pt idx="8">
                  <c:v>-147945.39547960486</c:v>
                </c:pt>
                <c:pt idx="9">
                  <c:v>-147942.12670694239</c:v>
                </c:pt>
                <c:pt idx="10">
                  <c:v>-147938.8385873232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77-41F4-A36F-4F1E65A97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843152"/>
        <c:axId val="571843480"/>
      </c:scatterChart>
      <c:valAx>
        <c:axId val="571843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43480"/>
        <c:crosses val="autoZero"/>
        <c:crossBetween val="midCat"/>
      </c:valAx>
      <c:valAx>
        <c:axId val="571843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43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Pressure Response'!$B$9:$B$19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'Test Pressure Response'!$K$9:$K$19</c:f>
              <c:numCache>
                <c:formatCode>_-* #,##0_-;\-* #,##0_-;_-* "-"??_-;_-@_-</c:formatCode>
                <c:ptCount val="11"/>
                <c:pt idx="0">
                  <c:v>-89411.061223559402</c:v>
                </c:pt>
                <c:pt idx="1">
                  <c:v>-89467.339091884307</c:v>
                </c:pt>
                <c:pt idx="2">
                  <c:v>-89524.05268064313</c:v>
                </c:pt>
                <c:pt idx="3">
                  <c:v>-89580.813666759394</c:v>
                </c:pt>
                <c:pt idx="4">
                  <c:v>-89638.025125323329</c:v>
                </c:pt>
                <c:pt idx="5">
                  <c:v>-89695.438138045574</c:v>
                </c:pt>
                <c:pt idx="6">
                  <c:v>-89753.044982142252</c:v>
                </c:pt>
                <c:pt idx="7">
                  <c:v>-89810.912418785912</c:v>
                </c:pt>
                <c:pt idx="8">
                  <c:v>-89869.193495487212</c:v>
                </c:pt>
                <c:pt idx="9">
                  <c:v>-89927.519946125671</c:v>
                </c:pt>
                <c:pt idx="10">
                  <c:v>-89986.455689612194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9C-4B55-BF69-96A7A47D95F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Pressure Response'!$B$9:$B$19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'Test Pressure Response'!$P$9:$P$19</c:f>
              <c:numCache>
                <c:formatCode>_-* #,##0_-;\-* #,##0_-;_-* "-"??_-;_-@_-</c:formatCode>
                <c:ptCount val="11"/>
                <c:pt idx="0">
                  <c:v>-90373.582852821826</c:v>
                </c:pt>
                <c:pt idx="1">
                  <c:v>-90439.416773883422</c:v>
                </c:pt>
                <c:pt idx="2">
                  <c:v>-90505.427997167688</c:v>
                </c:pt>
                <c:pt idx="3">
                  <c:v>-90571.615837455218</c:v>
                </c:pt>
                <c:pt idx="4">
                  <c:v>-90637.979519336048</c:v>
                </c:pt>
                <c:pt idx="5">
                  <c:v>-90704.518173327378</c:v>
                </c:pt>
                <c:pt idx="6">
                  <c:v>-90771.230831881461</c:v>
                </c:pt>
                <c:pt idx="7">
                  <c:v>-90838.116425285232</c:v>
                </c:pt>
                <c:pt idx="8">
                  <c:v>-90905.173777452001</c:v>
                </c:pt>
                <c:pt idx="9">
                  <c:v>-90972.401601607649</c:v>
                </c:pt>
                <c:pt idx="10">
                  <c:v>-91039.798495873285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9C-4B55-BF69-96A7A47D9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843152"/>
        <c:axId val="571843480"/>
      </c:scatterChart>
      <c:valAx>
        <c:axId val="571843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43480"/>
        <c:crosses val="autoZero"/>
        <c:crossBetween val="midCat"/>
      </c:valAx>
      <c:valAx>
        <c:axId val="571843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43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Pressure Response'!$A$9:$A$19</c:f>
              <c:numCache>
                <c:formatCode>General</c:formatCode>
                <c:ptCount val="11"/>
                <c:pt idx="0">
                  <c:v>2.6385224274406333E-2</c:v>
                </c:pt>
                <c:pt idx="1">
                  <c:v>5.2770448548812667E-2</c:v>
                </c:pt>
                <c:pt idx="2">
                  <c:v>7.9155672823219003E-2</c:v>
                </c:pt>
                <c:pt idx="3">
                  <c:v>0.10554089709762533</c:v>
                </c:pt>
                <c:pt idx="4">
                  <c:v>0.13192612137203166</c:v>
                </c:pt>
                <c:pt idx="5">
                  <c:v>0.15831134564643801</c:v>
                </c:pt>
                <c:pt idx="6">
                  <c:v>0.18469656992084432</c:v>
                </c:pt>
                <c:pt idx="7">
                  <c:v>0.21108179419525067</c:v>
                </c:pt>
                <c:pt idx="8">
                  <c:v>0.23746701846965701</c:v>
                </c:pt>
                <c:pt idx="9">
                  <c:v>0.26385224274406333</c:v>
                </c:pt>
                <c:pt idx="10">
                  <c:v>0.29023746701846964</c:v>
                </c:pt>
              </c:numCache>
            </c:numRef>
          </c:xVal>
          <c:yVal>
            <c:numRef>
              <c:f>'Test Pressure Response'!$C$9:$C$19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DF-4D8F-AB8A-FB956DF1E6B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Pressure Response'!$A$9:$A$19</c:f>
              <c:numCache>
                <c:formatCode>General</c:formatCode>
                <c:ptCount val="11"/>
                <c:pt idx="0">
                  <c:v>2.6385224274406333E-2</c:v>
                </c:pt>
                <c:pt idx="1">
                  <c:v>5.2770448548812667E-2</c:v>
                </c:pt>
                <c:pt idx="2">
                  <c:v>7.9155672823219003E-2</c:v>
                </c:pt>
                <c:pt idx="3">
                  <c:v>0.10554089709762533</c:v>
                </c:pt>
                <c:pt idx="4">
                  <c:v>0.13192612137203166</c:v>
                </c:pt>
                <c:pt idx="5">
                  <c:v>0.15831134564643801</c:v>
                </c:pt>
                <c:pt idx="6">
                  <c:v>0.18469656992084432</c:v>
                </c:pt>
                <c:pt idx="7">
                  <c:v>0.21108179419525067</c:v>
                </c:pt>
                <c:pt idx="8">
                  <c:v>0.23746701846965701</c:v>
                </c:pt>
                <c:pt idx="9">
                  <c:v>0.26385224274406333</c:v>
                </c:pt>
                <c:pt idx="10">
                  <c:v>0.29023746701846964</c:v>
                </c:pt>
              </c:numCache>
            </c:numRef>
          </c:xVal>
          <c:yVal>
            <c:numRef>
              <c:f>'Test Pressure Response'!$D$9:$D$19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BDF-4D8F-AB8A-FB956DF1E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843152"/>
        <c:axId val="571843480"/>
      </c:scatterChart>
      <c:valAx>
        <c:axId val="571843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43480"/>
        <c:crosses val="autoZero"/>
        <c:crossBetween val="midCat"/>
      </c:valAx>
      <c:valAx>
        <c:axId val="571843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43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'Enthalpy_Entropy Check'!$F$8:$F$18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'Enthalpy_Entropy Check'!$T$8:$T$18</c:f>
              <c:numCache>
                <c:formatCode>_-* #,##0.0000_-;\-* #,##0.0000_-;_-* "-"??_-;_-@_-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23-4D0D-B9E3-B09ADEC3CB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955888"/>
        <c:axId val="610876784"/>
      </c:scatterChart>
      <c:valAx>
        <c:axId val="78295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876784"/>
        <c:crosses val="autoZero"/>
        <c:crossBetween val="midCat"/>
      </c:valAx>
      <c:valAx>
        <c:axId val="6108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00_-;\-* #,##0.000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955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gif"/><Relationship Id="rId2" Type="http://schemas.openxmlformats.org/officeDocument/2006/relationships/image" Target="../media/image5.jpeg"/><Relationship Id="rId1" Type="http://schemas.openxmlformats.org/officeDocument/2006/relationships/image" Target="../media/image4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304800</xdr:colOff>
      <xdr:row>0</xdr:row>
      <xdr:rowOff>139700</xdr:rowOff>
    </xdr:from>
    <xdr:to>
      <xdr:col>32</xdr:col>
      <xdr:colOff>50800</xdr:colOff>
      <xdr:row>22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F14B04-FEF7-401E-8032-07CFCD9976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24</xdr:row>
      <xdr:rowOff>0</xdr:rowOff>
    </xdr:from>
    <xdr:to>
      <xdr:col>31</xdr:col>
      <xdr:colOff>355600</xdr:colOff>
      <xdr:row>47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209D54F-FC30-48A5-8EC8-084D61655F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825500</xdr:colOff>
      <xdr:row>22</xdr:row>
      <xdr:rowOff>165100</xdr:rowOff>
    </xdr:from>
    <xdr:to>
      <xdr:col>16</xdr:col>
      <xdr:colOff>469900</xdr:colOff>
      <xdr:row>46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5DD8BE4-6F7D-4584-9ED9-5C8F869075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36195</xdr:colOff>
      <xdr:row>0</xdr:row>
      <xdr:rowOff>44087</xdr:rowOff>
    </xdr:from>
    <xdr:to>
      <xdr:col>29</xdr:col>
      <xdr:colOff>365760</xdr:colOff>
      <xdr:row>17</xdr:row>
      <xdr:rowOff>183425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DEC4C28-32CB-4B50-93FC-0CF7D1F539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01281" y="44087"/>
          <a:ext cx="3987165" cy="32853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112939</xdr:colOff>
      <xdr:row>24</xdr:row>
      <xdr:rowOff>26942</xdr:rowOff>
    </xdr:from>
    <xdr:to>
      <xdr:col>29</xdr:col>
      <xdr:colOff>305344</xdr:colOff>
      <xdr:row>28</xdr:row>
      <xdr:rowOff>145324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3E8E8C-62B8-41D4-B384-D7BB325D2B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78025" y="4468313"/>
          <a:ext cx="3850005" cy="8586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472185</xdr:colOff>
      <xdr:row>1</xdr:row>
      <xdr:rowOff>0</xdr:rowOff>
    </xdr:from>
    <xdr:to>
      <xdr:col>30</xdr:col>
      <xdr:colOff>603314</xdr:colOff>
      <xdr:row>35</xdr:row>
      <xdr:rowOff>174563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C32B63D-6192-49CA-B6C8-CB41196B4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818071" y="185057"/>
          <a:ext cx="5617529" cy="6466506"/>
        </a:xfrm>
        <a:prstGeom prst="rect">
          <a:avLst/>
        </a:prstGeom>
      </xdr:spPr>
    </xdr:pic>
    <xdr:clientData/>
  </xdr:twoCellAnchor>
  <xdr:twoCellAnchor>
    <xdr:from>
      <xdr:col>10</xdr:col>
      <xdr:colOff>620485</xdr:colOff>
      <xdr:row>20</xdr:row>
      <xdr:rowOff>43544</xdr:rowOff>
    </xdr:from>
    <xdr:to>
      <xdr:col>18</xdr:col>
      <xdr:colOff>32656</xdr:colOff>
      <xdr:row>35</xdr:row>
      <xdr:rowOff>10887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58B5845-A2DC-43CC-862A-0CBDF035E1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0</xdr:rowOff>
    </xdr:from>
    <xdr:to>
      <xdr:col>9</xdr:col>
      <xdr:colOff>342900</xdr:colOff>
      <xdr:row>6</xdr:row>
      <xdr:rowOff>60960</xdr:rowOff>
    </xdr:to>
    <xdr:pic>
      <xdr:nvPicPr>
        <xdr:cNvPr id="3" name="Picture 2" descr="View the MathML sourc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731520"/>
          <a:ext cx="400050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396240</xdr:colOff>
      <xdr:row>2</xdr:row>
      <xdr:rowOff>129540</xdr:rowOff>
    </xdr:from>
    <xdr:to>
      <xdr:col>19</xdr:col>
      <xdr:colOff>480060</xdr:colOff>
      <xdr:row>6</xdr:row>
      <xdr:rowOff>53340</xdr:rowOff>
    </xdr:to>
    <xdr:pic>
      <xdr:nvPicPr>
        <xdr:cNvPr id="5" name="Picture 4" descr="https://www.pirika.com/images/Hv3.jp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2240" y="495300"/>
          <a:ext cx="5570220" cy="655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15240</xdr:colOff>
      <xdr:row>10</xdr:row>
      <xdr:rowOff>7620</xdr:rowOff>
    </xdr:from>
    <xdr:to>
      <xdr:col>15</xdr:col>
      <xdr:colOff>38100</xdr:colOff>
      <xdr:row>11</xdr:row>
      <xdr:rowOff>15240</xdr:rowOff>
    </xdr:to>
    <xdr:pic>
      <xdr:nvPicPr>
        <xdr:cNvPr id="7" name="Picture 6" descr="View the MathML source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20840" y="1836420"/>
          <a:ext cx="246126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.xml"/><Relationship Id="rId3" Type="http://schemas.openxmlformats.org/officeDocument/2006/relationships/hyperlink" Target="http://www.sciencedirect.com/science/article/pii/S2090123213000386?np=y" TargetMode="External"/><Relationship Id="rId7" Type="http://schemas.openxmlformats.org/officeDocument/2006/relationships/hyperlink" Target="http://www.sciencedirect.com/science/article/pii/S2090123213000386?np=y" TargetMode="External"/><Relationship Id="rId2" Type="http://schemas.openxmlformats.org/officeDocument/2006/relationships/hyperlink" Target="http://www.sciencedirect.com/science/article/pii/S2090123213000386?np=y" TargetMode="External"/><Relationship Id="rId1" Type="http://schemas.openxmlformats.org/officeDocument/2006/relationships/hyperlink" Target="http://www.sciencedirect.com/science/article/pii/S2090123213000386?np=y" TargetMode="External"/><Relationship Id="rId6" Type="http://schemas.openxmlformats.org/officeDocument/2006/relationships/hyperlink" Target="http://www.sciencedirect.com/science/article/pii/S2090123213000386?np=y" TargetMode="External"/><Relationship Id="rId5" Type="http://schemas.openxmlformats.org/officeDocument/2006/relationships/hyperlink" Target="http://www.sciencedirect.com/science/article/pii/S2090123213000386?np=y" TargetMode="External"/><Relationship Id="rId4" Type="http://schemas.openxmlformats.org/officeDocument/2006/relationships/hyperlink" Target="http://www.sciencedirect.com/science/article/pii/S2090123213000386?np=y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67"/>
  <sheetViews>
    <sheetView showGridLines="0" tabSelected="1" zoomScale="60" zoomScaleNormal="60" workbookViewId="0">
      <selection activeCell="V48" sqref="V48"/>
    </sheetView>
  </sheetViews>
  <sheetFormatPr defaultRowHeight="15" x14ac:dyDescent="0.25"/>
  <cols>
    <col min="1" max="1" width="13.5703125" bestFit="1" customWidth="1"/>
    <col min="3" max="3" width="12.5703125" customWidth="1"/>
    <col min="4" max="4" width="12.5703125" style="1" customWidth="1"/>
    <col min="5" max="7" width="12.5703125" customWidth="1"/>
    <col min="8" max="12" width="12.5703125" style="1" customWidth="1"/>
    <col min="13" max="13" width="9.28515625" bestFit="1" customWidth="1"/>
    <col min="14" max="14" width="7.7109375" customWidth="1"/>
    <col min="15" max="15" width="12.28515625" customWidth="1"/>
    <col min="16" max="16" width="13.5703125" customWidth="1"/>
    <col min="17" max="24" width="12.28515625" customWidth="1"/>
    <col min="25" max="26" width="9.7109375" customWidth="1"/>
    <col min="27" max="27" width="12.5703125" customWidth="1"/>
    <col min="28" max="31" width="11.5703125" customWidth="1"/>
    <col min="32" max="32" width="13.28515625" customWidth="1"/>
    <col min="33" max="33" width="13.42578125" customWidth="1"/>
    <col min="34" max="34" width="13" customWidth="1"/>
    <col min="35" max="35" width="13.7109375" customWidth="1"/>
    <col min="36" max="36" width="9.7109375" customWidth="1"/>
    <col min="37" max="40" width="12.42578125" customWidth="1"/>
    <col min="41" max="42" width="9.7109375" customWidth="1"/>
    <col min="43" max="44" width="9.28515625" customWidth="1"/>
    <col min="45" max="45" width="10.28515625" bestFit="1" customWidth="1"/>
    <col min="47" max="49" width="9.28515625" bestFit="1" customWidth="1"/>
    <col min="51" max="54" width="8.28515625" customWidth="1"/>
    <col min="55" max="55" width="10.28515625" bestFit="1" customWidth="1"/>
  </cols>
  <sheetData>
    <row r="1" spans="1:49" x14ac:dyDescent="0.25">
      <c r="A1" t="s">
        <v>0</v>
      </c>
      <c r="D1" t="s">
        <v>10</v>
      </c>
      <c r="E1">
        <v>1</v>
      </c>
    </row>
    <row r="2" spans="1:49" x14ac:dyDescent="0.25">
      <c r="A2" t="s">
        <v>162</v>
      </c>
      <c r="B2">
        <v>0</v>
      </c>
    </row>
    <row r="3" spans="1:49" x14ac:dyDescent="0.25">
      <c r="A3" t="s">
        <v>281</v>
      </c>
      <c r="B3">
        <f>1-B2</f>
        <v>1</v>
      </c>
      <c r="H3" s="5"/>
    </row>
    <row r="4" spans="1:49" x14ac:dyDescent="0.25">
      <c r="G4" s="1"/>
    </row>
    <row r="5" spans="1:49" x14ac:dyDescent="0.25">
      <c r="H5"/>
      <c r="I5"/>
      <c r="J5"/>
      <c r="K5"/>
    </row>
    <row r="6" spans="1:49" x14ac:dyDescent="0.25">
      <c r="C6" t="s">
        <v>19</v>
      </c>
      <c r="E6" t="str">
        <f>A2</f>
        <v>H2O</v>
      </c>
      <c r="L6" s="4"/>
      <c r="O6" t="s">
        <v>19</v>
      </c>
      <c r="P6" s="1"/>
      <c r="Q6" t="str">
        <f>A3</f>
        <v>M-E-Ketone</v>
      </c>
      <c r="T6" s="1"/>
      <c r="U6" s="1"/>
      <c r="V6" s="1"/>
      <c r="W6" s="1"/>
      <c r="X6" s="4"/>
      <c r="AP6" t="s">
        <v>12</v>
      </c>
      <c r="AR6" s="3"/>
      <c r="AS6" s="1"/>
      <c r="AT6" s="3"/>
      <c r="AU6" s="3"/>
      <c r="AV6" s="3"/>
      <c r="AW6" s="1"/>
    </row>
    <row r="7" spans="1:49" x14ac:dyDescent="0.25">
      <c r="C7" s="3" t="s">
        <v>11</v>
      </c>
      <c r="D7" s="3" t="s">
        <v>3</v>
      </c>
      <c r="E7" s="3" t="s">
        <v>1</v>
      </c>
      <c r="F7" s="3" t="s">
        <v>5</v>
      </c>
      <c r="G7" s="3" t="s">
        <v>7</v>
      </c>
      <c r="H7" s="3" t="s">
        <v>9</v>
      </c>
      <c r="I7" s="3" t="s">
        <v>20</v>
      </c>
      <c r="J7" s="3" t="s">
        <v>21</v>
      </c>
      <c r="K7" s="3" t="s">
        <v>22</v>
      </c>
      <c r="L7" s="1" t="s">
        <v>15</v>
      </c>
      <c r="O7" s="3" t="s">
        <v>11</v>
      </c>
      <c r="P7" s="3" t="s">
        <v>3</v>
      </c>
      <c r="Q7" s="3" t="s">
        <v>1</v>
      </c>
      <c r="R7" s="3" t="s">
        <v>5</v>
      </c>
      <c r="S7" s="3" t="s">
        <v>7</v>
      </c>
      <c r="T7" s="3" t="s">
        <v>9</v>
      </c>
      <c r="U7" s="3" t="s">
        <v>20</v>
      </c>
      <c r="V7" s="3" t="s">
        <v>21</v>
      </c>
      <c r="W7" s="3" t="s">
        <v>22</v>
      </c>
      <c r="X7" s="1" t="s">
        <v>15</v>
      </c>
      <c r="AA7" s="3" t="s">
        <v>11</v>
      </c>
      <c r="AB7" s="3" t="s">
        <v>3</v>
      </c>
      <c r="AC7" s="3" t="s">
        <v>1</v>
      </c>
      <c r="AD7" s="3" t="s">
        <v>5</v>
      </c>
      <c r="AE7" s="3" t="s">
        <v>7</v>
      </c>
      <c r="AF7" s="3" t="s">
        <v>9</v>
      </c>
      <c r="AG7" s="3" t="s">
        <v>20</v>
      </c>
      <c r="AH7" s="3" t="s">
        <v>21</v>
      </c>
      <c r="AI7" s="3" t="s">
        <v>22</v>
      </c>
      <c r="AR7" s="3" t="s">
        <v>11</v>
      </c>
      <c r="AS7" s="3" t="s">
        <v>3</v>
      </c>
      <c r="AT7" s="3" t="s">
        <v>1</v>
      </c>
      <c r="AU7" s="3" t="s">
        <v>5</v>
      </c>
      <c r="AV7" s="3" t="s">
        <v>7</v>
      </c>
      <c r="AW7" s="3" t="s">
        <v>9</v>
      </c>
    </row>
    <row r="8" spans="1:49" x14ac:dyDescent="0.25">
      <c r="C8" s="22">
        <v>0</v>
      </c>
      <c r="D8" s="3">
        <v>2</v>
      </c>
      <c r="E8" s="3">
        <v>4</v>
      </c>
      <c r="F8" s="3">
        <v>3</v>
      </c>
      <c r="G8" s="3">
        <v>5</v>
      </c>
      <c r="H8" s="3">
        <v>1</v>
      </c>
      <c r="I8" s="3">
        <v>6</v>
      </c>
      <c r="J8" s="3">
        <v>7</v>
      </c>
      <c r="K8" s="3">
        <v>8</v>
      </c>
      <c r="O8" s="3">
        <v>0</v>
      </c>
      <c r="P8" s="3">
        <v>2</v>
      </c>
      <c r="Q8" s="3">
        <v>4</v>
      </c>
      <c r="R8" s="3">
        <v>3</v>
      </c>
      <c r="S8" s="3">
        <v>5</v>
      </c>
      <c r="T8" s="3">
        <v>1</v>
      </c>
      <c r="U8" s="3">
        <v>6</v>
      </c>
      <c r="V8" s="3">
        <v>7</v>
      </c>
      <c r="W8" s="3">
        <v>8</v>
      </c>
      <c r="X8" s="1">
        <v>999</v>
      </c>
      <c r="AA8" s="3">
        <v>0</v>
      </c>
      <c r="AB8" s="3">
        <v>2</v>
      </c>
      <c r="AC8" s="3">
        <v>4</v>
      </c>
      <c r="AD8" s="3">
        <v>3</v>
      </c>
      <c r="AE8" s="3">
        <v>5</v>
      </c>
      <c r="AF8" s="3">
        <v>1</v>
      </c>
      <c r="AG8" s="3">
        <v>6</v>
      </c>
      <c r="AH8" s="3">
        <v>7</v>
      </c>
      <c r="AI8" s="3">
        <v>8</v>
      </c>
      <c r="AK8">
        <v>2</v>
      </c>
      <c r="AL8">
        <v>2</v>
      </c>
      <c r="AM8">
        <v>2</v>
      </c>
      <c r="AR8" s="3"/>
      <c r="AS8" s="3"/>
      <c r="AT8" s="3"/>
      <c r="AU8" s="3"/>
      <c r="AV8" s="3"/>
      <c r="AW8" s="3"/>
    </row>
    <row r="9" spans="1:49" x14ac:dyDescent="0.25">
      <c r="A9">
        <v>-20</v>
      </c>
      <c r="C9" s="5">
        <f>VapPressure($A$2,$A9,C$8)</f>
        <v>0.01</v>
      </c>
      <c r="D9" s="5">
        <f t="shared" ref="D9:L9" si="0">VapPressure($A$2,$A9,D$8)</f>
        <v>7.8580266997101671E-3</v>
      </c>
      <c r="E9" s="5">
        <f t="shared" si="0"/>
        <v>9.2983049170087195E-4</v>
      </c>
      <c r="F9" s="5">
        <f t="shared" si="0"/>
        <v>7.3896093233433331E-4</v>
      </c>
      <c r="G9" s="5">
        <f t="shared" si="0"/>
        <v>9.2983049170087195E-4</v>
      </c>
      <c r="H9" s="5">
        <f t="shared" si="0"/>
        <v>7.0830129833876444E-4</v>
      </c>
      <c r="I9" s="5">
        <f t="shared" si="0"/>
        <v>0</v>
      </c>
      <c r="J9" s="5">
        <f t="shared" si="0"/>
        <v>0.9</v>
      </c>
      <c r="K9" s="5">
        <f t="shared" si="0"/>
        <v>2.8022766113282639E-3</v>
      </c>
      <c r="L9" s="5">
        <f t="shared" si="0"/>
        <v>9.2982999652290897E-4</v>
      </c>
      <c r="N9">
        <f>A9</f>
        <v>-20</v>
      </c>
      <c r="O9" s="5">
        <f>VapPressure($A$3,$A9,O$8)</f>
        <v>9.4047433710888681E-3</v>
      </c>
      <c r="P9" s="5">
        <f t="shared" ref="P9:X9" si="1">VapPressure($A$3,$A9,P$8)</f>
        <v>9.4047433710888681E-3</v>
      </c>
      <c r="Q9" s="5">
        <f t="shared" si="1"/>
        <v>9.4047433710888681E-3</v>
      </c>
      <c r="R9" s="5">
        <f t="shared" si="1"/>
        <v>9.4047433710888681E-3</v>
      </c>
      <c r="S9" s="5">
        <f t="shared" si="1"/>
        <v>9.4047433710888681E-3</v>
      </c>
      <c r="T9" s="5">
        <f t="shared" si="1"/>
        <v>9.4047433710888681E-3</v>
      </c>
      <c r="U9" s="5">
        <f t="shared" si="1"/>
        <v>9.4047433710888681E-3</v>
      </c>
      <c r="V9" s="5">
        <f t="shared" si="1"/>
        <v>9.4047433710888681E-3</v>
      </c>
      <c r="W9" s="5">
        <f t="shared" si="1"/>
        <v>9.4047433710888681E-3</v>
      </c>
      <c r="X9" s="5">
        <f t="shared" si="1"/>
        <v>9.4047433710888681E-3</v>
      </c>
      <c r="AA9" s="23">
        <f>psat2($A$2:$A$3,$B$2:$B$3,$A9,AA$8)</f>
        <v>9.4047433710888681E-3</v>
      </c>
      <c r="AB9" s="23">
        <f t="shared" ref="AB9:AI9" si="2">psat2($A$2:$A$3,$B$2:$B$3,$A9,AB$8)</f>
        <v>9.4047433710888681E-3</v>
      </c>
      <c r="AC9" s="23">
        <f t="shared" si="2"/>
        <v>9.4047433710888681E-3</v>
      </c>
      <c r="AD9" s="23">
        <f t="shared" si="2"/>
        <v>9.4047433710888681E-3</v>
      </c>
      <c r="AE9" s="23">
        <f t="shared" si="2"/>
        <v>9.4047433710888681E-3</v>
      </c>
      <c r="AF9" s="23">
        <f t="shared" si="2"/>
        <v>9.4047433710888681E-3</v>
      </c>
      <c r="AG9" s="23">
        <f t="shared" si="2"/>
        <v>9.4047433710888681E-3</v>
      </c>
      <c r="AH9" s="23">
        <f t="shared" si="2"/>
        <v>9.4047433710888681E-3</v>
      </c>
      <c r="AI9" s="23">
        <f t="shared" si="2"/>
        <v>9.4047433710888681E-3</v>
      </c>
      <c r="AK9" s="5">
        <f t="shared" ref="AK9:AK17" si="3">VapPressure($A$2,$A9,AK$8)</f>
        <v>0</v>
      </c>
      <c r="AL9" s="5">
        <f t="shared" ref="AL9:AL17" si="4">VapPressure($A$3,$A9,AL$8)</f>
        <v>9.4047433710888681E-3</v>
      </c>
      <c r="AM9" s="5">
        <f t="shared" ref="AM9:AM17" si="5">psat2($A$2:$A$3,$B$2:$B$3,$A9,AM$8)</f>
        <v>9.4047433710888681E-3</v>
      </c>
      <c r="AP9">
        <v>-20</v>
      </c>
      <c r="AR9" s="5">
        <v>0.47389024671316715</v>
      </c>
      <c r="AS9" s="1"/>
      <c r="AT9" s="3"/>
      <c r="AU9" s="3"/>
      <c r="AV9" s="3"/>
      <c r="AW9" s="1"/>
    </row>
    <row r="10" spans="1:49" x14ac:dyDescent="0.25">
      <c r="A10">
        <f>A9+20</f>
        <v>0</v>
      </c>
      <c r="C10" s="5">
        <f t="shared" ref="C10:L18" si="6">VapPressure($A$2,$A10,C$8)</f>
        <v>0.01</v>
      </c>
      <c r="D10" s="5">
        <f t="shared" si="6"/>
        <v>3.3803827803941526E-2</v>
      </c>
      <c r="E10" s="5">
        <f t="shared" si="6"/>
        <v>4.8389278470851119E-3</v>
      </c>
      <c r="F10" s="5">
        <f t="shared" si="6"/>
        <v>4.0512642793896683E-3</v>
      </c>
      <c r="G10" s="5">
        <f t="shared" si="6"/>
        <v>4.8389278470851119E-3</v>
      </c>
      <c r="H10" s="5">
        <f t="shared" si="6"/>
        <v>3.885019087462777E-3</v>
      </c>
      <c r="I10" s="5">
        <f t="shared" si="6"/>
        <v>1.3167543227452549E-4</v>
      </c>
      <c r="J10" s="5">
        <f t="shared" si="6"/>
        <v>0.9</v>
      </c>
      <c r="K10" s="5">
        <f t="shared" si="6"/>
        <v>9.5779418945313877E-3</v>
      </c>
      <c r="L10" s="5">
        <f t="shared" si="6"/>
        <v>4.8389255484142133E-3</v>
      </c>
      <c r="N10">
        <f t="shared" ref="N10:N17" si="7">A10</f>
        <v>0</v>
      </c>
      <c r="O10" s="5">
        <f t="shared" ref="O10:X18" si="8">VapPressure($A$3,$A10,O$8)</f>
        <v>3.3218783781076816E-2</v>
      </c>
      <c r="P10" s="5">
        <f t="shared" si="8"/>
        <v>3.3218783781076816E-2</v>
      </c>
      <c r="Q10" s="5">
        <f t="shared" si="8"/>
        <v>3.3218783781076816E-2</v>
      </c>
      <c r="R10" s="5">
        <f t="shared" si="8"/>
        <v>3.3218783781076816E-2</v>
      </c>
      <c r="S10" s="5">
        <f t="shared" si="8"/>
        <v>3.3218783781076816E-2</v>
      </c>
      <c r="T10" s="5">
        <f t="shared" si="8"/>
        <v>3.3218783781076816E-2</v>
      </c>
      <c r="U10" s="5">
        <f t="shared" si="8"/>
        <v>3.3218783781076816E-2</v>
      </c>
      <c r="V10" s="5">
        <f t="shared" si="8"/>
        <v>3.3218783781076816E-2</v>
      </c>
      <c r="W10" s="5">
        <f t="shared" si="8"/>
        <v>3.3218783781076816E-2</v>
      </c>
      <c r="X10" s="5">
        <f t="shared" si="8"/>
        <v>3.3218783781076816E-2</v>
      </c>
      <c r="AA10" s="23">
        <f t="shared" ref="AA10:AI18" si="9">psat2($A$2:$A$3,$B$2:$B$3,$A10,AA$8)</f>
        <v>3.3218783781076816E-2</v>
      </c>
      <c r="AB10" s="23">
        <f t="shared" si="9"/>
        <v>3.3218783781076816E-2</v>
      </c>
      <c r="AC10" s="23">
        <f t="shared" si="9"/>
        <v>3.3218783781076816E-2</v>
      </c>
      <c r="AD10" s="23">
        <f t="shared" si="9"/>
        <v>3.3218783781076816E-2</v>
      </c>
      <c r="AE10" s="23">
        <f t="shared" si="9"/>
        <v>3.3218783781076816E-2</v>
      </c>
      <c r="AF10" s="23">
        <f t="shared" si="9"/>
        <v>3.3218783781076816E-2</v>
      </c>
      <c r="AG10" s="23">
        <f t="shared" si="9"/>
        <v>3.3218783781076816E-2</v>
      </c>
      <c r="AH10" s="23">
        <f t="shared" si="9"/>
        <v>3.3218783781076816E-2</v>
      </c>
      <c r="AI10" s="23">
        <f t="shared" si="9"/>
        <v>3.3218783781076816E-2</v>
      </c>
      <c r="AK10" s="5">
        <f t="shared" si="3"/>
        <v>0</v>
      </c>
      <c r="AL10" s="5">
        <f t="shared" si="4"/>
        <v>3.3218783781076816E-2</v>
      </c>
      <c r="AM10" s="5">
        <f t="shared" si="5"/>
        <v>3.3218783781076816E-2</v>
      </c>
      <c r="AP10">
        <v>-15</v>
      </c>
      <c r="AR10" s="5">
        <v>0.58452462684316076</v>
      </c>
      <c r="AS10" s="1"/>
      <c r="AT10" s="3"/>
      <c r="AU10" s="3"/>
      <c r="AV10" s="3"/>
      <c r="AW10" s="1"/>
    </row>
    <row r="11" spans="1:49" x14ac:dyDescent="0.25">
      <c r="A11">
        <f t="shared" ref="A11:A16" si="10">A10+20</f>
        <v>20</v>
      </c>
      <c r="C11" s="5">
        <f t="shared" si="6"/>
        <v>0.01</v>
      </c>
      <c r="D11" s="5">
        <f t="shared" si="6"/>
        <v>0.1132572495921606</v>
      </c>
      <c r="E11" s="5">
        <f t="shared" si="6"/>
        <v>1.9538370690265094E-2</v>
      </c>
      <c r="F11" s="5">
        <f t="shared" si="6"/>
        <v>1.7050794300812491E-2</v>
      </c>
      <c r="G11" s="5">
        <f t="shared" si="6"/>
        <v>1.9538370690265094E-2</v>
      </c>
      <c r="H11" s="5">
        <f t="shared" si="6"/>
        <v>1.6406390389500192E-2</v>
      </c>
      <c r="I11" s="5">
        <f t="shared" si="6"/>
        <v>1.2737105759367015E-3</v>
      </c>
      <c r="J11" s="5">
        <f t="shared" si="6"/>
        <v>0.9</v>
      </c>
      <c r="K11" s="5">
        <f t="shared" si="6"/>
        <v>2.8057861328125145E-2</v>
      </c>
      <c r="L11" s="5">
        <f t="shared" si="6"/>
        <v>1.9538362364487877E-2</v>
      </c>
      <c r="N11">
        <f t="shared" si="7"/>
        <v>20</v>
      </c>
      <c r="O11" s="5">
        <f t="shared" si="8"/>
        <v>9.6292013608461749E-2</v>
      </c>
      <c r="P11" s="5">
        <f t="shared" si="8"/>
        <v>9.6292013608461749E-2</v>
      </c>
      <c r="Q11" s="5">
        <f t="shared" si="8"/>
        <v>9.6292013608461749E-2</v>
      </c>
      <c r="R11" s="5">
        <f t="shared" si="8"/>
        <v>9.6292013608461749E-2</v>
      </c>
      <c r="S11" s="5">
        <f t="shared" si="8"/>
        <v>9.6292013608461749E-2</v>
      </c>
      <c r="T11" s="5">
        <f t="shared" si="8"/>
        <v>9.6292013608461749E-2</v>
      </c>
      <c r="U11" s="5">
        <f t="shared" si="8"/>
        <v>9.6292013608461749E-2</v>
      </c>
      <c r="V11" s="5">
        <f t="shared" si="8"/>
        <v>9.6292013608461749E-2</v>
      </c>
      <c r="W11" s="5">
        <f t="shared" si="8"/>
        <v>9.6292013608461749E-2</v>
      </c>
      <c r="X11" s="5">
        <f t="shared" si="8"/>
        <v>9.6292013608461749E-2</v>
      </c>
      <c r="AA11" s="23">
        <f t="shared" si="9"/>
        <v>9.6292013608461749E-2</v>
      </c>
      <c r="AB11" s="23">
        <f t="shared" si="9"/>
        <v>9.6292013608461749E-2</v>
      </c>
      <c r="AC11" s="23">
        <f t="shared" si="9"/>
        <v>9.6292013608461749E-2</v>
      </c>
      <c r="AD11" s="23">
        <f t="shared" si="9"/>
        <v>9.6292013608461749E-2</v>
      </c>
      <c r="AE11" s="23">
        <f t="shared" si="9"/>
        <v>9.6292013608461749E-2</v>
      </c>
      <c r="AF11" s="23">
        <f t="shared" si="9"/>
        <v>9.6292013608461749E-2</v>
      </c>
      <c r="AG11" s="23">
        <f t="shared" si="9"/>
        <v>9.6292013608461749E-2</v>
      </c>
      <c r="AH11" s="23">
        <f t="shared" si="9"/>
        <v>9.6292013608461749E-2</v>
      </c>
      <c r="AI11" s="23">
        <f t="shared" si="9"/>
        <v>9.6292013608461749E-2</v>
      </c>
      <c r="AK11" s="5">
        <f t="shared" si="3"/>
        <v>0</v>
      </c>
      <c r="AL11" s="5">
        <f t="shared" si="4"/>
        <v>9.6292013608461749E-2</v>
      </c>
      <c r="AM11" s="5">
        <f t="shared" si="5"/>
        <v>9.6292013608461749E-2</v>
      </c>
      <c r="AP11">
        <v>-10</v>
      </c>
      <c r="AR11" s="5">
        <v>0.71526174959641731</v>
      </c>
      <c r="AS11" s="1"/>
      <c r="AT11" s="3"/>
      <c r="AU11" s="3"/>
      <c r="AV11" s="1"/>
      <c r="AW11" s="1"/>
    </row>
    <row r="12" spans="1:49" x14ac:dyDescent="0.25">
      <c r="A12">
        <f t="shared" si="10"/>
        <v>40</v>
      </c>
      <c r="C12" s="5">
        <f t="shared" si="6"/>
        <v>0.01</v>
      </c>
      <c r="D12" s="5">
        <f t="shared" si="6"/>
        <v>0.31244938092163704</v>
      </c>
      <c r="E12" s="5">
        <f t="shared" si="6"/>
        <v>6.4405339155465632E-2</v>
      </c>
      <c r="F12" s="5">
        <f t="shared" si="6"/>
        <v>5.8103087210846269E-2</v>
      </c>
      <c r="G12" s="5">
        <f t="shared" si="6"/>
        <v>6.4405339155465632E-2</v>
      </c>
      <c r="H12" s="5">
        <f t="shared" si="6"/>
        <v>5.6198311620931446E-2</v>
      </c>
      <c r="I12" s="5">
        <f t="shared" si="6"/>
        <v>8.3863404978712103E-3</v>
      </c>
      <c r="J12" s="5">
        <f t="shared" si="6"/>
        <v>0.9</v>
      </c>
      <c r="K12" s="5">
        <f t="shared" si="6"/>
        <v>7.2509765625000153E-2</v>
      </c>
      <c r="L12" s="5">
        <f t="shared" si="6"/>
        <v>6.4405314412868175E-2</v>
      </c>
      <c r="N12">
        <f t="shared" si="7"/>
        <v>40</v>
      </c>
      <c r="O12" s="5">
        <f t="shared" si="8"/>
        <v>0.23860077456936427</v>
      </c>
      <c r="P12" s="5">
        <f t="shared" si="8"/>
        <v>0.23860077456936427</v>
      </c>
      <c r="Q12" s="5">
        <f t="shared" si="8"/>
        <v>0.23860077456936427</v>
      </c>
      <c r="R12" s="5">
        <f t="shared" si="8"/>
        <v>0.23860077456936427</v>
      </c>
      <c r="S12" s="5">
        <f t="shared" si="8"/>
        <v>0.23860077456936427</v>
      </c>
      <c r="T12" s="5">
        <f t="shared" si="8"/>
        <v>0.23860077456936427</v>
      </c>
      <c r="U12" s="5">
        <f t="shared" si="8"/>
        <v>0.23860077456936427</v>
      </c>
      <c r="V12" s="5">
        <f t="shared" si="8"/>
        <v>0.23860077456936427</v>
      </c>
      <c r="W12" s="5">
        <f t="shared" si="8"/>
        <v>0.23860077456936427</v>
      </c>
      <c r="X12" s="5">
        <f t="shared" si="8"/>
        <v>0.23860077456936427</v>
      </c>
      <c r="AA12" s="23">
        <f t="shared" si="9"/>
        <v>0.23860077456936427</v>
      </c>
      <c r="AB12" s="23">
        <f t="shared" si="9"/>
        <v>0.23860077456936427</v>
      </c>
      <c r="AC12" s="23">
        <f t="shared" si="9"/>
        <v>0.23860077456936427</v>
      </c>
      <c r="AD12" s="23">
        <f t="shared" si="9"/>
        <v>0.23860077456936427</v>
      </c>
      <c r="AE12" s="23">
        <f t="shared" si="9"/>
        <v>0.23860077456936427</v>
      </c>
      <c r="AF12" s="23">
        <f t="shared" si="9"/>
        <v>0.23860077456936427</v>
      </c>
      <c r="AG12" s="23">
        <f t="shared" si="9"/>
        <v>0.23860077456936427</v>
      </c>
      <c r="AH12" s="23">
        <f t="shared" si="9"/>
        <v>0.23860077456936427</v>
      </c>
      <c r="AI12" s="23">
        <f t="shared" si="9"/>
        <v>0.23860077456936427</v>
      </c>
      <c r="AK12" s="5" t="e">
        <f t="shared" si="3"/>
        <v>#VALUE!</v>
      </c>
      <c r="AL12" s="5">
        <f t="shared" si="4"/>
        <v>0.23860077456936427</v>
      </c>
      <c r="AM12" s="5">
        <f t="shared" si="5"/>
        <v>0.23860077456936427</v>
      </c>
      <c r="AP12">
        <v>-5</v>
      </c>
      <c r="AR12" s="5">
        <v>0.86867643559989738</v>
      </c>
      <c r="AS12" s="1"/>
      <c r="AT12" s="3"/>
      <c r="AU12" s="3"/>
      <c r="AV12" s="1"/>
      <c r="AW12" s="1"/>
    </row>
    <row r="13" spans="1:49" x14ac:dyDescent="0.25">
      <c r="A13">
        <f t="shared" si="10"/>
        <v>60</v>
      </c>
      <c r="C13" s="5">
        <f t="shared" si="6"/>
        <v>0.01</v>
      </c>
      <c r="D13" s="5">
        <f t="shared" si="6"/>
        <v>0.73949252427225232</v>
      </c>
      <c r="E13" s="5">
        <f t="shared" si="6"/>
        <v>0.1801234167204715</v>
      </c>
      <c r="F13" s="5">
        <f t="shared" si="6"/>
        <v>0.16688828535044745</v>
      </c>
      <c r="G13" s="5">
        <f t="shared" si="6"/>
        <v>0.1801234167204715</v>
      </c>
      <c r="H13" s="5">
        <f t="shared" si="6"/>
        <v>0.16242457182444991</v>
      </c>
      <c r="I13" s="5">
        <f t="shared" si="6"/>
        <v>4.0538392446606765E-2</v>
      </c>
      <c r="J13" s="5">
        <f t="shared" si="6"/>
        <v>0.9</v>
      </c>
      <c r="K13" s="5">
        <f t="shared" si="6"/>
        <v>0.16894531250000011</v>
      </c>
      <c r="L13" s="5">
        <f t="shared" si="6"/>
        <v>0.18012335404986979</v>
      </c>
      <c r="N13">
        <f t="shared" si="7"/>
        <v>60</v>
      </c>
      <c r="O13" s="5">
        <f t="shared" si="8"/>
        <v>0.52131518366009011</v>
      </c>
      <c r="P13" s="5">
        <f t="shared" si="8"/>
        <v>0.52131518366009011</v>
      </c>
      <c r="Q13" s="5">
        <f t="shared" si="8"/>
        <v>0.52131518366009011</v>
      </c>
      <c r="R13" s="5">
        <f t="shared" si="8"/>
        <v>0.52131518366009011</v>
      </c>
      <c r="S13" s="5">
        <f t="shared" si="8"/>
        <v>0.52131518366009011</v>
      </c>
      <c r="T13" s="5">
        <f t="shared" si="8"/>
        <v>0.52131518366009011</v>
      </c>
      <c r="U13" s="5">
        <f t="shared" si="8"/>
        <v>0.52131518366009011</v>
      </c>
      <c r="V13" s="5">
        <f t="shared" si="8"/>
        <v>0.52131518366009011</v>
      </c>
      <c r="W13" s="5">
        <f t="shared" si="8"/>
        <v>0.52131518366009011</v>
      </c>
      <c r="X13" s="5">
        <f t="shared" si="8"/>
        <v>0.52131518366009011</v>
      </c>
      <c r="AA13" s="23">
        <f t="shared" si="9"/>
        <v>0.52131518366009011</v>
      </c>
      <c r="AB13" s="23">
        <f t="shared" si="9"/>
        <v>0.52131518366009011</v>
      </c>
      <c r="AC13" s="23">
        <f t="shared" si="9"/>
        <v>0.52131518366009011</v>
      </c>
      <c r="AD13" s="23">
        <f t="shared" si="9"/>
        <v>0.52131518366009011</v>
      </c>
      <c r="AE13" s="23">
        <f t="shared" si="9"/>
        <v>0.52131518366009011</v>
      </c>
      <c r="AF13" s="23">
        <f t="shared" si="9"/>
        <v>0.52131518366009011</v>
      </c>
      <c r="AG13" s="23">
        <f t="shared" si="9"/>
        <v>0.52131518366009011</v>
      </c>
      <c r="AH13" s="23">
        <f t="shared" si="9"/>
        <v>0.52131518366009011</v>
      </c>
      <c r="AI13" s="23">
        <f t="shared" si="9"/>
        <v>0.52131518366009011</v>
      </c>
      <c r="AK13" s="5">
        <f t="shared" si="3"/>
        <v>0</v>
      </c>
      <c r="AL13" s="5">
        <f t="shared" si="4"/>
        <v>0.52131518366009011</v>
      </c>
      <c r="AM13" s="5">
        <f t="shared" si="5"/>
        <v>0.52131518366009011</v>
      </c>
      <c r="AP13">
        <v>0</v>
      </c>
      <c r="AR13" s="5">
        <v>1.0475179124207534</v>
      </c>
      <c r="AS13" s="1"/>
      <c r="AT13" s="3"/>
      <c r="AU13" s="3"/>
      <c r="AV13" s="1"/>
      <c r="AW13" s="1"/>
    </row>
    <row r="14" spans="1:49" x14ac:dyDescent="0.25">
      <c r="A14">
        <f t="shared" si="10"/>
        <v>80</v>
      </c>
      <c r="C14" s="5">
        <f t="shared" si="6"/>
        <v>0.01</v>
      </c>
      <c r="D14" s="5">
        <f t="shared" si="6"/>
        <v>1.548611631941468</v>
      </c>
      <c r="E14" s="5">
        <f t="shared" si="6"/>
        <v>0.44029496002921842</v>
      </c>
      <c r="F14" s="5">
        <f t="shared" si="6"/>
        <v>0.41677563008626772</v>
      </c>
      <c r="G14" s="5">
        <f t="shared" si="6"/>
        <v>0.44029496002921842</v>
      </c>
      <c r="H14" s="5">
        <f t="shared" si="6"/>
        <v>0.40831175690971971</v>
      </c>
      <c r="I14" s="5">
        <f t="shared" si="6"/>
        <v>0.15249852412448667</v>
      </c>
      <c r="J14" s="5">
        <f t="shared" si="6"/>
        <v>0.9</v>
      </c>
      <c r="K14" s="5">
        <f t="shared" si="6"/>
        <v>0.36088867187500018</v>
      </c>
      <c r="L14" s="5">
        <f t="shared" si="6"/>
        <v>0.44029482068684234</v>
      </c>
      <c r="N14">
        <f t="shared" si="7"/>
        <v>80</v>
      </c>
      <c r="O14" s="5">
        <f t="shared" si="8"/>
        <v>1.0287110320663242</v>
      </c>
      <c r="P14" s="5">
        <f t="shared" si="8"/>
        <v>1.0287110320663242</v>
      </c>
      <c r="Q14" s="5">
        <f t="shared" si="8"/>
        <v>1.0287110320663242</v>
      </c>
      <c r="R14" s="5">
        <f t="shared" si="8"/>
        <v>1.0287110320663242</v>
      </c>
      <c r="S14" s="5">
        <f t="shared" si="8"/>
        <v>1.0287110320663242</v>
      </c>
      <c r="T14" s="5">
        <f t="shared" si="8"/>
        <v>1.0287110320663242</v>
      </c>
      <c r="U14" s="5">
        <f t="shared" si="8"/>
        <v>1.0287110320663242</v>
      </c>
      <c r="V14" s="5">
        <f t="shared" si="8"/>
        <v>1.0287110320663242</v>
      </c>
      <c r="W14" s="5">
        <f t="shared" si="8"/>
        <v>1.0287110320663242</v>
      </c>
      <c r="X14" s="5">
        <f t="shared" si="8"/>
        <v>1.0287110320663242</v>
      </c>
      <c r="AA14" s="23">
        <f t="shared" si="9"/>
        <v>1.0287110320663242</v>
      </c>
      <c r="AB14" s="23">
        <f t="shared" si="9"/>
        <v>1.0287110320663242</v>
      </c>
      <c r="AC14" s="23">
        <f t="shared" si="9"/>
        <v>1.0287110320663242</v>
      </c>
      <c r="AD14" s="23">
        <f t="shared" si="9"/>
        <v>1.0287110320663242</v>
      </c>
      <c r="AE14" s="23">
        <f t="shared" si="9"/>
        <v>1.0287110320663242</v>
      </c>
      <c r="AF14" s="23">
        <f t="shared" si="9"/>
        <v>1.0287110320663242</v>
      </c>
      <c r="AG14" s="23">
        <f t="shared" si="9"/>
        <v>1.0287110320663242</v>
      </c>
      <c r="AH14" s="23">
        <f t="shared" si="9"/>
        <v>1.0287110320663242</v>
      </c>
      <c r="AI14" s="23">
        <f t="shared" si="9"/>
        <v>1.0287110320663242</v>
      </c>
      <c r="AK14" s="5">
        <f t="shared" si="3"/>
        <v>0</v>
      </c>
      <c r="AL14" s="5">
        <f t="shared" si="4"/>
        <v>1.0287110320663242</v>
      </c>
      <c r="AM14" s="5">
        <f t="shared" si="5"/>
        <v>1.0287110320663242</v>
      </c>
      <c r="AP14">
        <v>25</v>
      </c>
      <c r="AR14" s="5">
        <v>2.4309419907657186</v>
      </c>
      <c r="AS14" s="1"/>
      <c r="AT14" s="3"/>
      <c r="AU14" s="3"/>
      <c r="AV14" s="1"/>
      <c r="AW14" s="1"/>
    </row>
    <row r="15" spans="1:49" x14ac:dyDescent="0.25">
      <c r="A15">
        <f t="shared" si="10"/>
        <v>100</v>
      </c>
      <c r="C15" s="5">
        <f t="shared" si="6"/>
        <v>0.01</v>
      </c>
      <c r="D15" s="5">
        <f t="shared" si="6"/>
        <v>2.9380559013821319</v>
      </c>
      <c r="E15" s="5">
        <f t="shared" si="6"/>
        <v>0.96291888657550095</v>
      </c>
      <c r="F15" s="5">
        <f t="shared" si="6"/>
        <v>0.92728321997323626</v>
      </c>
      <c r="G15" s="5">
        <f t="shared" si="6"/>
        <v>0.96291888657550095</v>
      </c>
      <c r="H15" s="5">
        <f t="shared" si="6"/>
        <v>0.9142684456776009</v>
      </c>
      <c r="I15" s="5">
        <f t="shared" si="6"/>
        <v>0.4673713519443552</v>
      </c>
      <c r="J15" s="5">
        <f t="shared" si="6"/>
        <v>0.9</v>
      </c>
      <c r="K15" s="5">
        <f t="shared" si="6"/>
        <v>0.71650390624999993</v>
      </c>
      <c r="L15" s="5">
        <f t="shared" si="6"/>
        <v>0.96291860821466435</v>
      </c>
      <c r="N15">
        <f t="shared" si="7"/>
        <v>100</v>
      </c>
      <c r="O15" s="5">
        <f t="shared" si="8"/>
        <v>1.8681068381059296</v>
      </c>
      <c r="P15" s="5">
        <f t="shared" si="8"/>
        <v>1.8681068381059296</v>
      </c>
      <c r="Q15" s="5">
        <f t="shared" si="8"/>
        <v>1.8681068381059296</v>
      </c>
      <c r="R15" s="5">
        <f t="shared" si="8"/>
        <v>1.8681068381059296</v>
      </c>
      <c r="S15" s="5">
        <f t="shared" si="8"/>
        <v>1.8681068381059296</v>
      </c>
      <c r="T15" s="5">
        <f t="shared" si="8"/>
        <v>1.8681068381059296</v>
      </c>
      <c r="U15" s="5">
        <f t="shared" si="8"/>
        <v>1.8681068381059296</v>
      </c>
      <c r="V15" s="5">
        <f t="shared" si="8"/>
        <v>1.8681068381059296</v>
      </c>
      <c r="W15" s="5">
        <f t="shared" si="8"/>
        <v>1.8681068381059296</v>
      </c>
      <c r="X15" s="5">
        <f t="shared" si="8"/>
        <v>1.8681068381059296</v>
      </c>
      <c r="AA15" s="23">
        <f t="shared" si="9"/>
        <v>1.8681068381059296</v>
      </c>
      <c r="AB15" s="23">
        <f t="shared" si="9"/>
        <v>1.8681068381059296</v>
      </c>
      <c r="AC15" s="23">
        <f t="shared" si="9"/>
        <v>1.8681068381059296</v>
      </c>
      <c r="AD15" s="23">
        <f t="shared" si="9"/>
        <v>1.8681068381059296</v>
      </c>
      <c r="AE15" s="23">
        <f t="shared" si="9"/>
        <v>1.8681068381059296</v>
      </c>
      <c r="AF15" s="23">
        <f t="shared" si="9"/>
        <v>1.8681068381059296</v>
      </c>
      <c r="AG15" s="23">
        <f t="shared" si="9"/>
        <v>1.8681068381059296</v>
      </c>
      <c r="AH15" s="23">
        <f t="shared" si="9"/>
        <v>1.8681068381059296</v>
      </c>
      <c r="AI15" s="23">
        <f t="shared" si="9"/>
        <v>1.8681068381059296</v>
      </c>
      <c r="AK15" s="5" t="e">
        <f t="shared" si="3"/>
        <v>#VALUE!</v>
      </c>
      <c r="AL15" s="5">
        <f t="shared" si="4"/>
        <v>1.8681068381059296</v>
      </c>
      <c r="AM15" s="5">
        <f t="shared" si="5"/>
        <v>1.8681068381059296</v>
      </c>
      <c r="AP15">
        <v>50</v>
      </c>
      <c r="AR15" s="5">
        <v>4.9524208453239043</v>
      </c>
      <c r="AS15" s="1"/>
      <c r="AT15" s="3"/>
      <c r="AU15" s="3"/>
      <c r="AV15" s="1"/>
      <c r="AW15" s="1"/>
    </row>
    <row r="16" spans="1:49" x14ac:dyDescent="0.25">
      <c r="A16">
        <f t="shared" si="10"/>
        <v>120</v>
      </c>
      <c r="C16" s="5">
        <f t="shared" si="6"/>
        <v>0.01</v>
      </c>
      <c r="D16" s="5">
        <f t="shared" si="6"/>
        <v>5.1430862096463672</v>
      </c>
      <c r="E16" s="5">
        <f t="shared" si="6"/>
        <v>1.9195612268137483</v>
      </c>
      <c r="F16" s="5">
        <f t="shared" si="6"/>
        <v>1.8740912558602045</v>
      </c>
      <c r="G16" s="5">
        <f t="shared" si="6"/>
        <v>1.9195612268137483</v>
      </c>
      <c r="H16" s="5">
        <f t="shared" si="6"/>
        <v>1.8582575098520666</v>
      </c>
      <c r="I16" s="5">
        <f t="shared" si="6"/>
        <v>1.21047722852696</v>
      </c>
      <c r="J16" s="5">
        <f t="shared" si="6"/>
        <v>1.1000000000000001</v>
      </c>
      <c r="K16" s="5">
        <f t="shared" si="6"/>
        <v>1.3365234375000004</v>
      </c>
      <c r="L16" s="5">
        <f t="shared" si="6"/>
        <v>1.9195607177995582</v>
      </c>
      <c r="N16">
        <f t="shared" si="7"/>
        <v>120</v>
      </c>
      <c r="O16" s="5">
        <f t="shared" si="8"/>
        <v>3.1685407930891611</v>
      </c>
      <c r="P16" s="5">
        <f t="shared" si="8"/>
        <v>3.1685407930891611</v>
      </c>
      <c r="Q16" s="5">
        <f t="shared" si="8"/>
        <v>3.1685407930891611</v>
      </c>
      <c r="R16" s="5">
        <f t="shared" si="8"/>
        <v>3.1685407930891611</v>
      </c>
      <c r="S16" s="5">
        <f t="shared" si="8"/>
        <v>3.1685407930891611</v>
      </c>
      <c r="T16" s="5">
        <f t="shared" si="8"/>
        <v>3.1685407930891611</v>
      </c>
      <c r="U16" s="5">
        <f t="shared" si="8"/>
        <v>3.1685407930891611</v>
      </c>
      <c r="V16" s="5">
        <f t="shared" si="8"/>
        <v>3.1685407930891611</v>
      </c>
      <c r="W16" s="5">
        <f t="shared" si="8"/>
        <v>3.1685407930891611</v>
      </c>
      <c r="X16" s="5">
        <f t="shared" si="8"/>
        <v>3.1685407930891611</v>
      </c>
      <c r="AA16" s="23">
        <f t="shared" si="9"/>
        <v>3.1685407930891611</v>
      </c>
      <c r="AB16" s="23">
        <f t="shared" si="9"/>
        <v>3.1685407930891611</v>
      </c>
      <c r="AC16" s="23">
        <f t="shared" si="9"/>
        <v>3.1685407930891611</v>
      </c>
      <c r="AD16" s="23">
        <f t="shared" si="9"/>
        <v>3.1685407930891611</v>
      </c>
      <c r="AE16" s="23">
        <f t="shared" si="9"/>
        <v>3.1685407930891611</v>
      </c>
      <c r="AF16" s="23">
        <f t="shared" si="9"/>
        <v>3.1685407930891611</v>
      </c>
      <c r="AG16" s="23">
        <f t="shared" si="9"/>
        <v>3.1685407930891611</v>
      </c>
      <c r="AH16" s="23">
        <f t="shared" si="9"/>
        <v>3.1685407930891611</v>
      </c>
      <c r="AI16" s="23">
        <f t="shared" si="9"/>
        <v>3.1685407930891611</v>
      </c>
      <c r="AK16" s="5">
        <f t="shared" si="3"/>
        <v>0</v>
      </c>
      <c r="AL16" s="5">
        <f t="shared" si="4"/>
        <v>3.1685407930891611</v>
      </c>
      <c r="AM16" s="5">
        <f t="shared" si="5"/>
        <v>3.1685407930891611</v>
      </c>
      <c r="AP16">
        <v>50</v>
      </c>
      <c r="AR16" s="5">
        <v>4.9524208453239043</v>
      </c>
      <c r="AS16" s="1"/>
      <c r="AT16" s="3"/>
      <c r="AU16" s="3"/>
      <c r="AV16" s="1"/>
      <c r="AW16" s="1"/>
    </row>
    <row r="17" spans="1:55" x14ac:dyDescent="0.25">
      <c r="A17" s="20">
        <f>400-273.15</f>
        <v>126.85000000000002</v>
      </c>
      <c r="C17" s="5">
        <f t="shared" si="6"/>
        <v>0.01</v>
      </c>
      <c r="D17" s="5">
        <f t="shared" si="6"/>
        <v>6.1323622432877025</v>
      </c>
      <c r="E17" s="5">
        <f t="shared" si="6"/>
        <v>2.386604418454418</v>
      </c>
      <c r="F17" s="5">
        <f t="shared" si="6"/>
        <v>2.3394735193784721</v>
      </c>
      <c r="G17" s="5">
        <f t="shared" si="6"/>
        <v>2.386604418454418</v>
      </c>
      <c r="H17" s="5">
        <f t="shared" si="6"/>
        <v>2.3236227266492695</v>
      </c>
      <c r="I17" s="5">
        <f t="shared" si="6"/>
        <v>1.6221380318026952</v>
      </c>
      <c r="J17" s="5">
        <f t="shared" si="6"/>
        <v>1.1000000000000001</v>
      </c>
      <c r="K17" s="5">
        <f t="shared" si="6"/>
        <v>1.6337890625000004</v>
      </c>
      <c r="L17" s="5">
        <f t="shared" si="6"/>
        <v>2.3866038034317834</v>
      </c>
      <c r="N17">
        <f t="shared" si="7"/>
        <v>126.85000000000002</v>
      </c>
      <c r="O17" s="5">
        <f t="shared" si="8"/>
        <v>3.7461297657942447</v>
      </c>
      <c r="P17" s="5">
        <f t="shared" si="8"/>
        <v>3.7461297657942447</v>
      </c>
      <c r="Q17" s="5">
        <f t="shared" si="8"/>
        <v>3.7461297657942447</v>
      </c>
      <c r="R17" s="5">
        <f t="shared" si="8"/>
        <v>3.7461297657942447</v>
      </c>
      <c r="S17" s="5">
        <f t="shared" si="8"/>
        <v>3.7461297657942447</v>
      </c>
      <c r="T17" s="5">
        <f t="shared" si="8"/>
        <v>3.7461297657942447</v>
      </c>
      <c r="U17" s="5">
        <f t="shared" si="8"/>
        <v>3.7461297657942447</v>
      </c>
      <c r="V17" s="5">
        <f t="shared" si="8"/>
        <v>3.7461297657942447</v>
      </c>
      <c r="W17" s="5">
        <f t="shared" si="8"/>
        <v>3.7461297657942447</v>
      </c>
      <c r="X17" s="5">
        <f t="shared" si="8"/>
        <v>3.7461297657942447</v>
      </c>
      <c r="AA17" s="23">
        <f t="shared" si="9"/>
        <v>3.7461297657942447</v>
      </c>
      <c r="AB17" s="23">
        <f t="shared" si="9"/>
        <v>3.7461297657942447</v>
      </c>
      <c r="AC17" s="23">
        <f t="shared" si="9"/>
        <v>3.7461297657942447</v>
      </c>
      <c r="AD17" s="23">
        <f t="shared" si="9"/>
        <v>3.7461297657942447</v>
      </c>
      <c r="AE17" s="23">
        <f t="shared" si="9"/>
        <v>3.7461297657942447</v>
      </c>
      <c r="AF17" s="23">
        <f t="shared" si="9"/>
        <v>3.7461297657942447</v>
      </c>
      <c r="AG17" s="23">
        <f t="shared" si="9"/>
        <v>3.7461297657942447</v>
      </c>
      <c r="AH17" s="23">
        <f t="shared" si="9"/>
        <v>3.7461297657942447</v>
      </c>
      <c r="AI17" s="23">
        <f t="shared" si="9"/>
        <v>3.7461297657942447</v>
      </c>
      <c r="AK17" s="5">
        <f t="shared" si="3"/>
        <v>0</v>
      </c>
      <c r="AL17" s="5">
        <f t="shared" si="4"/>
        <v>3.7461297657942447</v>
      </c>
      <c r="AM17" s="5">
        <f t="shared" si="5"/>
        <v>3.7461297657942447</v>
      </c>
      <c r="AP17">
        <v>50</v>
      </c>
      <c r="AR17" s="5">
        <v>4.9524208453239043</v>
      </c>
      <c r="AS17" s="1"/>
      <c r="AT17" s="3"/>
      <c r="AU17" s="3"/>
      <c r="AV17" s="1"/>
      <c r="AW17" s="1"/>
    </row>
    <row r="18" spans="1:55" x14ac:dyDescent="0.25">
      <c r="A18" s="20">
        <v>370</v>
      </c>
      <c r="C18" s="5">
        <f t="shared" si="6"/>
        <v>0.01</v>
      </c>
      <c r="D18" s="5">
        <f t="shared" si="6"/>
        <v>0</v>
      </c>
      <c r="E18" s="5">
        <f t="shared" si="6"/>
        <v>0</v>
      </c>
      <c r="F18" s="5">
        <f t="shared" si="6"/>
        <v>211.2866645924384</v>
      </c>
      <c r="G18" s="5">
        <f t="shared" si="6"/>
        <v>0</v>
      </c>
      <c r="H18" s="5">
        <f t="shared" si="6"/>
        <v>210.81072408840609</v>
      </c>
      <c r="I18" s="5">
        <f t="shared" si="6"/>
        <v>0</v>
      </c>
      <c r="J18" s="5">
        <f t="shared" si="6"/>
        <v>1.1000000000000001</v>
      </c>
      <c r="K18" s="5">
        <f t="shared" si="6"/>
        <v>-999</v>
      </c>
      <c r="L18" s="5">
        <f t="shared" si="6"/>
        <v>0</v>
      </c>
      <c r="N18">
        <f t="shared" ref="N18" si="11">A18</f>
        <v>370</v>
      </c>
      <c r="O18" s="5">
        <f t="shared" si="8"/>
        <v>421</v>
      </c>
      <c r="P18" s="5">
        <f t="shared" si="8"/>
        <v>421</v>
      </c>
      <c r="Q18" s="5">
        <f>VapPressure($A$3,$A18,Q$8)</f>
        <v>421</v>
      </c>
      <c r="R18" s="5">
        <f t="shared" si="8"/>
        <v>421</v>
      </c>
      <c r="S18" s="5">
        <f>VapPressure($A$3,$A18,S$8)</f>
        <v>421</v>
      </c>
      <c r="T18" s="5">
        <f>VapPressure($A$3,$A18,T$8)</f>
        <v>421</v>
      </c>
      <c r="U18" s="5">
        <f>VapPressure($A$3,$A18,U$8)</f>
        <v>421</v>
      </c>
      <c r="V18" s="5">
        <f t="shared" si="8"/>
        <v>421</v>
      </c>
      <c r="W18" s="5">
        <f>VapPressure($A$3,$A18,W$8)</f>
        <v>421</v>
      </c>
      <c r="X18" s="5">
        <f t="shared" si="8"/>
        <v>421</v>
      </c>
      <c r="AA18" s="23">
        <f t="shared" si="9"/>
        <v>421</v>
      </c>
      <c r="AB18" s="23">
        <f t="shared" si="9"/>
        <v>421</v>
      </c>
      <c r="AC18" s="23">
        <f t="shared" si="9"/>
        <v>421</v>
      </c>
      <c r="AD18" s="23">
        <f t="shared" si="9"/>
        <v>421</v>
      </c>
      <c r="AE18" s="23">
        <f t="shared" si="9"/>
        <v>421</v>
      </c>
      <c r="AF18" s="23">
        <f t="shared" si="9"/>
        <v>421</v>
      </c>
      <c r="AG18" s="23">
        <f t="shared" si="9"/>
        <v>421</v>
      </c>
      <c r="AH18" s="23">
        <f t="shared" si="9"/>
        <v>421</v>
      </c>
      <c r="AI18" s="23">
        <f t="shared" si="9"/>
        <v>421</v>
      </c>
      <c r="AK18" s="5"/>
      <c r="AL18" s="5"/>
      <c r="AM18" s="5"/>
      <c r="AR18" s="5"/>
      <c r="AS18" s="1"/>
      <c r="AT18" s="3"/>
      <c r="AU18" s="3"/>
      <c r="AV18" s="1"/>
      <c r="AW18" s="1"/>
    </row>
    <row r="19" spans="1:55" x14ac:dyDescent="0.25">
      <c r="C19" s="3"/>
      <c r="E19" s="3"/>
      <c r="F19" s="3"/>
      <c r="G19" s="3"/>
      <c r="H19" s="3"/>
      <c r="O19" s="3"/>
      <c r="P19" s="1"/>
      <c r="Q19" s="3"/>
      <c r="R19" s="3"/>
      <c r="S19" s="3"/>
      <c r="T19" s="1"/>
      <c r="U19" s="1"/>
      <c r="V19" s="1"/>
      <c r="W19" s="1"/>
      <c r="X19" s="1"/>
      <c r="AX19" s="3"/>
      <c r="BC19" s="1"/>
    </row>
    <row r="20" spans="1:55" x14ac:dyDescent="0.25">
      <c r="C20" s="4" t="s">
        <v>17</v>
      </c>
      <c r="D20" s="4"/>
      <c r="H20"/>
      <c r="I20"/>
      <c r="J20"/>
      <c r="K20"/>
      <c r="L20"/>
      <c r="O20" s="4" t="s">
        <v>17</v>
      </c>
      <c r="P20" s="4"/>
      <c r="AK20">
        <v>2</v>
      </c>
      <c r="AL20">
        <v>2</v>
      </c>
      <c r="AX20" s="3"/>
    </row>
    <row r="21" spans="1:55" x14ac:dyDescent="0.25">
      <c r="C21" s="1" t="s">
        <v>13</v>
      </c>
      <c r="D21" s="3" t="s">
        <v>4</v>
      </c>
      <c r="E21" s="1" t="s">
        <v>2</v>
      </c>
      <c r="F21" s="3" t="s">
        <v>6</v>
      </c>
      <c r="G21" s="3" t="s">
        <v>8</v>
      </c>
      <c r="H21" s="3" t="s">
        <v>14</v>
      </c>
      <c r="I21" s="3" t="s">
        <v>20</v>
      </c>
      <c r="J21" s="3" t="s">
        <v>21</v>
      </c>
      <c r="K21" s="3" t="s">
        <v>22</v>
      </c>
      <c r="L21" s="3" t="s">
        <v>15</v>
      </c>
      <c r="O21" s="1" t="s">
        <v>13</v>
      </c>
      <c r="P21" s="3" t="s">
        <v>4</v>
      </c>
      <c r="Q21" s="1" t="s">
        <v>2</v>
      </c>
      <c r="R21" s="3" t="s">
        <v>6</v>
      </c>
      <c r="S21" s="3" t="s">
        <v>8</v>
      </c>
      <c r="T21" s="3" t="s">
        <v>14</v>
      </c>
      <c r="U21" s="3" t="s">
        <v>20</v>
      </c>
      <c r="V21" s="3" t="s">
        <v>21</v>
      </c>
      <c r="W21" s="3" t="s">
        <v>22</v>
      </c>
      <c r="X21" s="3" t="s">
        <v>15</v>
      </c>
      <c r="AA21" s="3" t="s">
        <v>33</v>
      </c>
      <c r="AB21" s="3" t="s">
        <v>28</v>
      </c>
      <c r="AC21" s="3" t="s">
        <v>30</v>
      </c>
      <c r="AD21" s="3" t="s">
        <v>29</v>
      </c>
      <c r="AE21" s="3" t="s">
        <v>31</v>
      </c>
      <c r="AF21" s="3" t="s">
        <v>34</v>
      </c>
      <c r="AG21" s="3" t="s">
        <v>20</v>
      </c>
      <c r="AH21" s="3" t="s">
        <v>21</v>
      </c>
      <c r="AI21" s="3" t="s">
        <v>22</v>
      </c>
      <c r="AK21" s="5">
        <f>VapPressure($A$2,$A21,AK$8)</f>
        <v>0</v>
      </c>
      <c r="AL21" s="5">
        <f>VapPressure($A$3,$A21,AL$8)</f>
        <v>3.3218783781076816E-2</v>
      </c>
      <c r="AP21" s="1" t="s">
        <v>13</v>
      </c>
      <c r="AQ21" s="3" t="s">
        <v>4</v>
      </c>
      <c r="AR21" s="1" t="s">
        <v>2</v>
      </c>
      <c r="AS21" s="3" t="s">
        <v>6</v>
      </c>
      <c r="AT21" s="3" t="s">
        <v>8</v>
      </c>
      <c r="AU21" s="3" t="s">
        <v>14</v>
      </c>
      <c r="AX21" s="3"/>
    </row>
    <row r="22" spans="1:55" x14ac:dyDescent="0.25">
      <c r="C22" s="3">
        <v>0</v>
      </c>
      <c r="D22" s="3">
        <v>2</v>
      </c>
      <c r="E22" s="3">
        <v>4</v>
      </c>
      <c r="F22" s="3">
        <v>3</v>
      </c>
      <c r="G22" s="3">
        <v>5</v>
      </c>
      <c r="H22" s="3">
        <v>1</v>
      </c>
      <c r="I22" s="3">
        <v>6</v>
      </c>
      <c r="J22" s="3">
        <v>7</v>
      </c>
      <c r="K22" s="3">
        <v>8</v>
      </c>
      <c r="L22" s="3"/>
      <c r="O22" s="3">
        <v>0</v>
      </c>
      <c r="P22" s="3">
        <v>2</v>
      </c>
      <c r="Q22" s="3">
        <v>4</v>
      </c>
      <c r="R22" s="3">
        <v>3</v>
      </c>
      <c r="S22" s="3">
        <v>5</v>
      </c>
      <c r="T22" s="3">
        <v>1</v>
      </c>
      <c r="U22" s="3">
        <v>6</v>
      </c>
      <c r="V22" s="3">
        <v>7</v>
      </c>
      <c r="W22" s="3">
        <v>8</v>
      </c>
      <c r="X22" s="3"/>
      <c r="AA22" s="3">
        <v>0</v>
      </c>
      <c r="AB22" s="3">
        <v>2</v>
      </c>
      <c r="AC22" s="3">
        <v>4</v>
      </c>
      <c r="AD22" s="3">
        <v>3</v>
      </c>
      <c r="AE22" s="3">
        <v>5</v>
      </c>
      <c r="AF22" s="3">
        <v>1</v>
      </c>
      <c r="AG22" s="3">
        <v>6</v>
      </c>
      <c r="AH22" s="3">
        <v>7</v>
      </c>
      <c r="AI22" s="3">
        <v>8</v>
      </c>
      <c r="AK22" s="5"/>
      <c r="AL22" s="5"/>
      <c r="AP22" s="1"/>
      <c r="AQ22" s="3"/>
      <c r="AR22" s="1"/>
      <c r="AS22" s="3"/>
      <c r="AT22" s="3"/>
      <c r="AU22" s="3"/>
      <c r="AX22" s="3"/>
    </row>
    <row r="23" spans="1:55" x14ac:dyDescent="0.25">
      <c r="A23">
        <v>0</v>
      </c>
      <c r="C23" s="1">
        <f t="shared" ref="C23:L29" si="12">vapEnthalpy($A$2,$A23,Press,C$22)</f>
        <v>-240610.34542353827</v>
      </c>
      <c r="D23" s="1">
        <f t="shared" si="12"/>
        <v>-240610.34542353827</v>
      </c>
      <c r="E23" s="1">
        <f t="shared" si="12"/>
        <v>-240610.34542353827</v>
      </c>
      <c r="F23" s="1">
        <f t="shared" si="12"/>
        <v>-240610.34542353827</v>
      </c>
      <c r="G23" s="1">
        <f t="shared" si="12"/>
        <v>-240610.34542353827</v>
      </c>
      <c r="H23" s="1">
        <f t="shared" si="12"/>
        <v>-240610.34542353827</v>
      </c>
      <c r="I23" s="1">
        <f t="shared" si="12"/>
        <v>-240610.34542353827</v>
      </c>
      <c r="J23" s="1">
        <f t="shared" si="12"/>
        <v>-240610.34542353827</v>
      </c>
      <c r="K23" s="1">
        <f t="shared" si="12"/>
        <v>-240610.34542353827</v>
      </c>
      <c r="L23" s="1">
        <f t="shared" si="12"/>
        <v>-240610.34542353827</v>
      </c>
      <c r="N23">
        <v>-20</v>
      </c>
      <c r="O23" s="1">
        <f t="shared" ref="O23:X29" si="13">vapEnthalpy($A$3,$N23,Press,O$22)</f>
        <v>-209382.59718251679</v>
      </c>
      <c r="P23" s="1">
        <f t="shared" si="13"/>
        <v>-210542.78973810031</v>
      </c>
      <c r="Q23" s="1">
        <f t="shared" si="13"/>
        <v>-209517.27648679866</v>
      </c>
      <c r="R23" s="1">
        <f t="shared" si="13"/>
        <v>-210785.07177398438</v>
      </c>
      <c r="S23" s="1">
        <f t="shared" si="13"/>
        <v>-209517.27648679866</v>
      </c>
      <c r="T23" s="1">
        <f t="shared" si="13"/>
        <v>-208110.77000255926</v>
      </c>
      <c r="U23" s="1">
        <f t="shared" si="13"/>
        <v>-209488.23036569526</v>
      </c>
      <c r="V23" s="1">
        <f t="shared" si="13"/>
        <v>-208110.77000255926</v>
      </c>
      <c r="W23" s="1">
        <f t="shared" si="13"/>
        <v>-208110.77000255926</v>
      </c>
      <c r="X23" s="1">
        <f t="shared" si="13"/>
        <v>-209382.59718251679</v>
      </c>
      <c r="AA23" s="1">
        <f t="shared" ref="AA23:AI29" si="14">vapenthalpy2($A$2:$A$3,$B$2:$B$3,$A23,Press,AA$22)</f>
        <v>-240941.72485423516</v>
      </c>
      <c r="AB23" s="1">
        <f t="shared" si="14"/>
        <v>-289230.72036516463</v>
      </c>
      <c r="AC23" s="1">
        <f t="shared" si="14"/>
        <v>-241320.20627417596</v>
      </c>
      <c r="AD23" s="1">
        <f t="shared" si="14"/>
        <v>-277535.36528435262</v>
      </c>
      <c r="AE23" s="1">
        <f t="shared" si="14"/>
        <v>-241320.20627417596</v>
      </c>
      <c r="AF23" s="1">
        <f t="shared" si="14"/>
        <v>-240845.5259673839</v>
      </c>
      <c r="AG23" s="1">
        <f t="shared" si="14"/>
        <v>-241411.84061589878</v>
      </c>
      <c r="AH23" s="1">
        <f t="shared" si="14"/>
        <v>-240845.5259673839</v>
      </c>
      <c r="AI23" s="1">
        <f t="shared" si="14"/>
        <v>-240845.5259673839</v>
      </c>
      <c r="AP23" s="3"/>
      <c r="AQ23" s="3"/>
      <c r="AR23" s="3"/>
      <c r="AS23" s="3"/>
      <c r="AT23" s="3"/>
      <c r="AU23" s="3"/>
      <c r="AX23" s="3"/>
    </row>
    <row r="24" spans="1:55" x14ac:dyDescent="0.25">
      <c r="A24">
        <f>A23+50</f>
        <v>50</v>
      </c>
      <c r="C24" s="1">
        <f t="shared" si="12"/>
        <v>-239009.73234144834</v>
      </c>
      <c r="D24" s="1">
        <f>vapEnthalpy($A$2,$A24,Press,D$22)</f>
        <v>-239009.73234144834</v>
      </c>
      <c r="E24" s="1">
        <f t="shared" si="12"/>
        <v>-239009.73234144834</v>
      </c>
      <c r="F24" s="1">
        <f t="shared" si="12"/>
        <v>-239009.73234144834</v>
      </c>
      <c r="G24" s="1">
        <f t="shared" si="12"/>
        <v>-239009.73234144834</v>
      </c>
      <c r="H24" s="1">
        <f t="shared" si="12"/>
        <v>-239009.73234144834</v>
      </c>
      <c r="I24" s="1">
        <f t="shared" si="12"/>
        <v>-239009.73234144834</v>
      </c>
      <c r="J24" s="1">
        <f t="shared" si="12"/>
        <v>-239009.73234144834</v>
      </c>
      <c r="K24" s="1">
        <f t="shared" si="12"/>
        <v>-239009.73234144834</v>
      </c>
      <c r="L24" s="1">
        <f t="shared" si="12"/>
        <v>-239009.73234144834</v>
      </c>
      <c r="N24">
        <f>N23+5</f>
        <v>-15</v>
      </c>
      <c r="O24" s="1">
        <f t="shared" si="13"/>
        <v>-208623.0632514079</v>
      </c>
      <c r="P24" s="1">
        <f t="shared" si="13"/>
        <v>-209762.37303247247</v>
      </c>
      <c r="Q24" s="1">
        <f t="shared" si="13"/>
        <v>-208755.61219111766</v>
      </c>
      <c r="R24" s="1">
        <f t="shared" si="13"/>
        <v>-209997.83094178297</v>
      </c>
      <c r="S24" s="1">
        <f t="shared" si="13"/>
        <v>-208755.61219111766</v>
      </c>
      <c r="T24" s="1">
        <f t="shared" si="13"/>
        <v>-207335.2713477794</v>
      </c>
      <c r="U24" s="1">
        <f t="shared" si="13"/>
        <v>-208726.38998950049</v>
      </c>
      <c r="V24" s="1">
        <f t="shared" si="13"/>
        <v>-207335.2713477794</v>
      </c>
      <c r="W24" s="1">
        <f t="shared" si="13"/>
        <v>-207335.2713477794</v>
      </c>
      <c r="X24" s="1">
        <f t="shared" si="13"/>
        <v>-208623.0632514079</v>
      </c>
      <c r="AA24" s="1">
        <f t="shared" si="14"/>
        <v>-235880.00048935568</v>
      </c>
      <c r="AB24" s="1">
        <f t="shared" si="14"/>
        <v>-279780.96340841148</v>
      </c>
      <c r="AC24" s="1">
        <f t="shared" si="14"/>
        <v>-236172.14447901244</v>
      </c>
      <c r="AD24" s="1">
        <f t="shared" si="14"/>
        <v>-269931.54385192774</v>
      </c>
      <c r="AE24" s="1">
        <f t="shared" si="14"/>
        <v>-236172.14447901244</v>
      </c>
      <c r="AF24" s="1">
        <f t="shared" si="14"/>
        <v>-235424.85110146157</v>
      </c>
      <c r="AG24" s="1">
        <f t="shared" si="14"/>
        <v>-236204.56343605425</v>
      </c>
      <c r="AH24" s="1">
        <f t="shared" si="14"/>
        <v>-235424.85110146157</v>
      </c>
      <c r="AI24" s="1">
        <f t="shared" si="14"/>
        <v>-235424.85110146157</v>
      </c>
      <c r="AP24" s="3"/>
      <c r="AQ24" s="3"/>
      <c r="AR24" s="3"/>
      <c r="AS24" s="3"/>
      <c r="AT24" s="3"/>
      <c r="AU24" s="3"/>
      <c r="AX24" s="3"/>
    </row>
    <row r="25" spans="1:55" x14ac:dyDescent="0.25">
      <c r="A25">
        <f t="shared" ref="A25:A28" si="15">A24+50</f>
        <v>100</v>
      </c>
      <c r="C25" s="1">
        <f t="shared" si="12"/>
        <v>-238800.19357632619</v>
      </c>
      <c r="D25" s="1">
        <f t="shared" si="12"/>
        <v>-238800.19357632619</v>
      </c>
      <c r="E25" s="1">
        <f t="shared" si="12"/>
        <v>-238800.19357632619</v>
      </c>
      <c r="F25" s="1">
        <f>vapEnthalpy($A$2,$A25,Press,F$22)</f>
        <v>-238800.19357632619</v>
      </c>
      <c r="G25" s="1">
        <f t="shared" si="12"/>
        <v>-238800.19357632619</v>
      </c>
      <c r="H25" s="1">
        <f t="shared" si="12"/>
        <v>-238800.19357632619</v>
      </c>
      <c r="I25" s="1">
        <f t="shared" si="12"/>
        <v>-238800.19357632619</v>
      </c>
      <c r="J25" s="1">
        <f t="shared" si="12"/>
        <v>-238800.19357632619</v>
      </c>
      <c r="K25" s="1">
        <f t="shared" si="12"/>
        <v>-238800.19357632619</v>
      </c>
      <c r="L25" s="1">
        <f t="shared" si="12"/>
        <v>-238800.19357632619</v>
      </c>
      <c r="N25">
        <f t="shared" ref="N25:N27" si="16">N24+5</f>
        <v>-10</v>
      </c>
      <c r="O25" s="1">
        <f t="shared" si="13"/>
        <v>-207858.84605820203</v>
      </c>
      <c r="P25" s="1">
        <f t="shared" si="13"/>
        <v>-208977.92117822909</v>
      </c>
      <c r="Q25" s="1">
        <f t="shared" si="13"/>
        <v>-207989.31104611309</v>
      </c>
      <c r="R25" s="1">
        <f t="shared" si="13"/>
        <v>-209206.77264326887</v>
      </c>
      <c r="S25" s="1">
        <f t="shared" si="13"/>
        <v>-207989.31104611309</v>
      </c>
      <c r="T25" s="1">
        <f t="shared" si="13"/>
        <v>-206555.19656712888</v>
      </c>
      <c r="U25" s="1">
        <f t="shared" si="13"/>
        <v>-207959.94037743332</v>
      </c>
      <c r="V25" s="1">
        <f t="shared" si="13"/>
        <v>-206555.19656712888</v>
      </c>
      <c r="W25" s="1">
        <f t="shared" si="13"/>
        <v>-206555.19656712888</v>
      </c>
      <c r="X25" s="1">
        <f t="shared" si="13"/>
        <v>-207858.84605820203</v>
      </c>
      <c r="AA25" s="1">
        <f t="shared" si="14"/>
        <v>-230204.28136046993</v>
      </c>
      <c r="AB25" s="1">
        <f t="shared" si="14"/>
        <v>-270489.00955403096</v>
      </c>
      <c r="AC25" s="1">
        <f t="shared" si="14"/>
        <v>-230438.32358063239</v>
      </c>
      <c r="AD25" s="1">
        <f t="shared" si="14"/>
        <v>-233820.99462616365</v>
      </c>
      <c r="AE25" s="1">
        <f t="shared" si="14"/>
        <v>-230438.32358063239</v>
      </c>
      <c r="AF25" s="1">
        <f t="shared" si="14"/>
        <v>-229495.00796344958</v>
      </c>
      <c r="AG25" s="1">
        <f t="shared" si="14"/>
        <v>-230439.26417202887</v>
      </c>
      <c r="AH25" s="1">
        <f t="shared" si="14"/>
        <v>-229495.00796344958</v>
      </c>
      <c r="AI25" s="1">
        <f t="shared" si="14"/>
        <v>-229495.00796344958</v>
      </c>
      <c r="AP25" s="3"/>
      <c r="AQ25" s="3"/>
      <c r="AR25" s="3"/>
      <c r="AT25" s="3"/>
      <c r="AU25" s="3"/>
      <c r="AX25" s="3"/>
    </row>
    <row r="26" spans="1:55" x14ac:dyDescent="0.25">
      <c r="A26">
        <f t="shared" si="15"/>
        <v>150</v>
      </c>
      <c r="C26" s="1">
        <f t="shared" si="12"/>
        <v>-238643.38178500166</v>
      </c>
      <c r="D26" s="1">
        <f t="shared" si="12"/>
        <v>-238643.38178500166</v>
      </c>
      <c r="E26" s="1">
        <f t="shared" si="12"/>
        <v>-238643.38178500166</v>
      </c>
      <c r="F26" s="1">
        <f t="shared" si="12"/>
        <v>-238643.38178500166</v>
      </c>
      <c r="G26" s="1">
        <f t="shared" si="12"/>
        <v>-238643.38178500166</v>
      </c>
      <c r="H26" s="1">
        <f t="shared" si="12"/>
        <v>-238643.38178500166</v>
      </c>
      <c r="I26" s="1">
        <f t="shared" si="12"/>
        <v>-238643.38178500166</v>
      </c>
      <c r="J26" s="1">
        <f t="shared" si="12"/>
        <v>-238643.38178500166</v>
      </c>
      <c r="K26" s="1">
        <f t="shared" si="12"/>
        <v>-238643.38178500166</v>
      </c>
      <c r="L26" s="1">
        <f t="shared" si="12"/>
        <v>-238643.38178500166</v>
      </c>
      <c r="N26">
        <f t="shared" si="16"/>
        <v>-5</v>
      </c>
      <c r="O26" s="1">
        <f t="shared" si="13"/>
        <v>-207089.97742968652</v>
      </c>
      <c r="P26" s="1">
        <f t="shared" si="13"/>
        <v>-208189.43459789819</v>
      </c>
      <c r="Q26" s="1">
        <f t="shared" si="13"/>
        <v>-207218.40344205289</v>
      </c>
      <c r="R26" s="1">
        <f t="shared" si="13"/>
        <v>-208411.88420828714</v>
      </c>
      <c r="S26" s="1">
        <f t="shared" si="13"/>
        <v>-207218.40344205289</v>
      </c>
      <c r="T26" s="1">
        <f t="shared" si="13"/>
        <v>-205770.60656927363</v>
      </c>
      <c r="U26" s="1">
        <f t="shared" si="13"/>
        <v>-207188.91056870736</v>
      </c>
      <c r="V26" s="1">
        <f t="shared" si="13"/>
        <v>-205770.60656927363</v>
      </c>
      <c r="W26" s="1">
        <f t="shared" si="13"/>
        <v>-205770.60656927363</v>
      </c>
      <c r="X26" s="1">
        <f t="shared" si="13"/>
        <v>-207089.97742968652</v>
      </c>
      <c r="AA26" s="1">
        <f t="shared" si="14"/>
        <v>-223951.85585360022</v>
      </c>
      <c r="AB26" s="1">
        <f t="shared" si="14"/>
        <v>-228076.35850038059</v>
      </c>
      <c r="AC26" s="1">
        <f t="shared" si="14"/>
        <v>-224144.0403208927</v>
      </c>
      <c r="AD26" s="1">
        <f t="shared" si="14"/>
        <v>-226263.38863742922</v>
      </c>
      <c r="AE26" s="1">
        <f t="shared" si="14"/>
        <v>-224144.0403208927</v>
      </c>
      <c r="AF26" s="1">
        <f t="shared" si="14"/>
        <v>-223036.68333549832</v>
      </c>
      <c r="AG26" s="1">
        <f t="shared" si="14"/>
        <v>-224127.84813297685</v>
      </c>
      <c r="AH26" s="1">
        <f t="shared" si="14"/>
        <v>-223036.68333549832</v>
      </c>
      <c r="AI26" s="1">
        <f t="shared" si="14"/>
        <v>-223036.68333549832</v>
      </c>
      <c r="AP26" s="3"/>
      <c r="AQ26" s="3"/>
      <c r="AR26" s="3"/>
      <c r="AS26" s="3"/>
      <c r="AT26" s="3"/>
      <c r="AU26" s="3"/>
      <c r="AX26" s="3"/>
    </row>
    <row r="27" spans="1:55" x14ac:dyDescent="0.25">
      <c r="A27">
        <f t="shared" si="15"/>
        <v>200</v>
      </c>
      <c r="C27" s="1">
        <f t="shared" si="12"/>
        <v>-238505.23031465829</v>
      </c>
      <c r="D27" s="1">
        <f t="shared" si="12"/>
        <v>-238505.23031465829</v>
      </c>
      <c r="E27" s="1">
        <f t="shared" si="12"/>
        <v>-238505.23031465829</v>
      </c>
      <c r="F27" s="1">
        <f t="shared" si="12"/>
        <v>-238505.23031465829</v>
      </c>
      <c r="G27" s="1">
        <f t="shared" si="12"/>
        <v>-238505.23031465829</v>
      </c>
      <c r="H27" s="1">
        <f t="shared" si="12"/>
        <v>-238505.23031465829</v>
      </c>
      <c r="I27" s="1">
        <f t="shared" si="12"/>
        <v>-238505.23031465829</v>
      </c>
      <c r="J27" s="1">
        <f t="shared" si="12"/>
        <v>-238505.23031465829</v>
      </c>
      <c r="K27" s="1">
        <f t="shared" si="12"/>
        <v>-238505.23031465829</v>
      </c>
      <c r="L27" s="1">
        <f t="shared" si="12"/>
        <v>-238505.23031465829</v>
      </c>
      <c r="N27">
        <f t="shared" si="16"/>
        <v>0</v>
      </c>
      <c r="O27" s="1">
        <f t="shared" si="13"/>
        <v>-206316.48904555477</v>
      </c>
      <c r="P27" s="1">
        <f t="shared" si="13"/>
        <v>-207396.91571212429</v>
      </c>
      <c r="Q27" s="1">
        <f t="shared" si="13"/>
        <v>-206442.91968074779</v>
      </c>
      <c r="R27" s="1">
        <f t="shared" si="13"/>
        <v>-207613.15615092177</v>
      </c>
      <c r="S27" s="1">
        <f t="shared" si="13"/>
        <v>-206442.91968074779</v>
      </c>
      <c r="T27" s="1">
        <f t="shared" si="13"/>
        <v>-204981.38075609243</v>
      </c>
      <c r="U27" s="1">
        <f t="shared" si="13"/>
        <v>-206413.32957297569</v>
      </c>
      <c r="V27" s="1">
        <f t="shared" si="13"/>
        <v>-204981.38075609243</v>
      </c>
      <c r="W27" s="1">
        <f t="shared" si="13"/>
        <v>-204981.38075609243</v>
      </c>
      <c r="X27" s="1">
        <f t="shared" si="13"/>
        <v>-206316.48904555477</v>
      </c>
      <c r="AA27" s="1">
        <f t="shared" si="14"/>
        <v>-217158.54141518701</v>
      </c>
      <c r="AB27" s="1">
        <f t="shared" si="14"/>
        <v>-219789.39396950716</v>
      </c>
      <c r="AC27" s="1">
        <f t="shared" si="14"/>
        <v>-217319.17052059103</v>
      </c>
      <c r="AD27" s="1">
        <f t="shared" si="14"/>
        <v>-218924.87117523918</v>
      </c>
      <c r="AE27" s="1">
        <f t="shared" si="14"/>
        <v>-217319.17052059103</v>
      </c>
      <c r="AF27" s="1">
        <f t="shared" si="14"/>
        <v>-216062.71292483073</v>
      </c>
      <c r="AG27" s="1">
        <f t="shared" si="14"/>
        <v>-217294.11608566126</v>
      </c>
      <c r="AH27" s="1">
        <f t="shared" si="14"/>
        <v>-216062.71292483073</v>
      </c>
      <c r="AI27" s="1">
        <f t="shared" si="14"/>
        <v>-216062.71292483073</v>
      </c>
      <c r="AP27" s="3"/>
      <c r="AQ27" s="3"/>
      <c r="AR27" s="3"/>
      <c r="AS27" s="3"/>
      <c r="AT27" s="3"/>
      <c r="AU27" s="3"/>
      <c r="AX27" s="3"/>
    </row>
    <row r="28" spans="1:55" x14ac:dyDescent="0.25">
      <c r="A28">
        <f t="shared" si="15"/>
        <v>250</v>
      </c>
      <c r="C28" s="1">
        <f t="shared" si="12"/>
        <v>-238375.68493109918</v>
      </c>
      <c r="D28" s="1">
        <f t="shared" si="12"/>
        <v>-238375.68493109918</v>
      </c>
      <c r="E28" s="1">
        <f t="shared" si="12"/>
        <v>-238375.68493109918</v>
      </c>
      <c r="F28" s="1">
        <f t="shared" si="12"/>
        <v>-238375.68493109918</v>
      </c>
      <c r="G28" s="1">
        <f t="shared" si="12"/>
        <v>-238375.68493109918</v>
      </c>
      <c r="H28" s="1">
        <f t="shared" si="12"/>
        <v>-238375.68493109918</v>
      </c>
      <c r="I28" s="1">
        <f t="shared" si="12"/>
        <v>-238375.68493109918</v>
      </c>
      <c r="J28" s="1">
        <f t="shared" si="12"/>
        <v>-238375.68493109918</v>
      </c>
      <c r="K28" s="1">
        <f t="shared" si="12"/>
        <v>-238375.68493109918</v>
      </c>
      <c r="L28" s="1">
        <f t="shared" si="12"/>
        <v>-238375.68493109918</v>
      </c>
      <c r="N28">
        <v>25</v>
      </c>
      <c r="O28" s="1">
        <f t="shared" si="13"/>
        <v>-202380.84928334417</v>
      </c>
      <c r="P28" s="1">
        <f t="shared" si="13"/>
        <v>-203374.03881206992</v>
      </c>
      <c r="Q28" s="1">
        <f t="shared" si="13"/>
        <v>-202497.91252492415</v>
      </c>
      <c r="R28" s="1">
        <f t="shared" si="13"/>
        <v>-203561.77407146909</v>
      </c>
      <c r="S28" s="1">
        <f t="shared" si="13"/>
        <v>-202497.91252492415</v>
      </c>
      <c r="T28" s="1">
        <f t="shared" si="13"/>
        <v>-200968.14381497979</v>
      </c>
      <c r="U28" s="1">
        <f t="shared" si="13"/>
        <v>-202468.16933731351</v>
      </c>
      <c r="V28" s="1">
        <f t="shared" si="13"/>
        <v>-200968.14381497979</v>
      </c>
      <c r="W28" s="1">
        <f t="shared" si="13"/>
        <v>-200968.14381497979</v>
      </c>
      <c r="X28" s="1">
        <f t="shared" si="13"/>
        <v>-202380.84928334417</v>
      </c>
      <c r="AA28" s="1">
        <f t="shared" si="14"/>
        <v>-209858.68455208882</v>
      </c>
      <c r="AB28" s="1">
        <f t="shared" si="14"/>
        <v>-211911.55834581208</v>
      </c>
      <c r="AC28" s="1">
        <f t="shared" si="14"/>
        <v>-209994.73048845615</v>
      </c>
      <c r="AD28" s="1">
        <f t="shared" si="14"/>
        <v>-211279.08056542563</v>
      </c>
      <c r="AE28" s="1">
        <f t="shared" si="14"/>
        <v>-209994.73048845615</v>
      </c>
      <c r="AF28" s="1">
        <f t="shared" si="14"/>
        <v>-208597.01119700365</v>
      </c>
      <c r="AG28" s="1">
        <f t="shared" si="14"/>
        <v>-209965.81010959813</v>
      </c>
      <c r="AH28" s="1">
        <f t="shared" si="14"/>
        <v>-208597.01119700365</v>
      </c>
      <c r="AI28" s="1">
        <f t="shared" si="14"/>
        <v>-208597.01119700365</v>
      </c>
      <c r="AP28" s="3"/>
      <c r="AQ28" s="1">
        <v>-184.60169333021122</v>
      </c>
      <c r="AR28" s="3"/>
      <c r="AS28" s="3"/>
      <c r="AT28" s="3"/>
      <c r="AU28" s="3"/>
      <c r="AX28" s="3"/>
    </row>
    <row r="29" spans="1:55" x14ac:dyDescent="0.25">
      <c r="A29">
        <f>A28+50</f>
        <v>300</v>
      </c>
      <c r="C29" s="1">
        <f t="shared" si="12"/>
        <v>-238250.43657808463</v>
      </c>
      <c r="D29" s="1">
        <f t="shared" si="12"/>
        <v>-238250.43657808463</v>
      </c>
      <c r="E29" s="1">
        <f t="shared" si="12"/>
        <v>-238250.43657808463</v>
      </c>
      <c r="F29" s="1">
        <f t="shared" si="12"/>
        <v>-238250.43657808463</v>
      </c>
      <c r="G29" s="1">
        <f t="shared" si="12"/>
        <v>-238250.43657808463</v>
      </c>
      <c r="H29" s="1">
        <f t="shared" si="12"/>
        <v>-238250.43657808463</v>
      </c>
      <c r="I29" s="1">
        <f t="shared" si="12"/>
        <v>-238250.43657808463</v>
      </c>
      <c r="J29" s="1">
        <f t="shared" si="12"/>
        <v>-238250.43657808463</v>
      </c>
      <c r="K29" s="1">
        <f t="shared" si="12"/>
        <v>-238250.43657808463</v>
      </c>
      <c r="L29" s="1">
        <f t="shared" si="12"/>
        <v>-238250.43657808463</v>
      </c>
      <c r="N29">
        <v>50</v>
      </c>
      <c r="O29" s="1">
        <f t="shared" si="13"/>
        <v>-198334.38300571099</v>
      </c>
      <c r="P29" s="1">
        <f t="shared" si="13"/>
        <v>-199251.58257465789</v>
      </c>
      <c r="Q29" s="1">
        <f t="shared" si="13"/>
        <v>-198442.99109074444</v>
      </c>
      <c r="R29" s="1">
        <f t="shared" si="13"/>
        <v>-199414.32995012155</v>
      </c>
      <c r="S29" s="1">
        <f t="shared" si="13"/>
        <v>-198442.99109074444</v>
      </c>
      <c r="T29" s="1">
        <f t="shared" si="13"/>
        <v>-196845.61486722529</v>
      </c>
      <c r="U29" s="1">
        <f t="shared" si="13"/>
        <v>-198413.554416709</v>
      </c>
      <c r="V29" s="1">
        <f t="shared" si="13"/>
        <v>-196845.61486722529</v>
      </c>
      <c r="W29" s="1">
        <f t="shared" si="13"/>
        <v>-196845.61486722529</v>
      </c>
      <c r="X29" s="1">
        <f t="shared" si="13"/>
        <v>-198334.38300571099</v>
      </c>
      <c r="AA29" s="1">
        <f t="shared" si="14"/>
        <v>-202085.16083158238</v>
      </c>
      <c r="AB29" s="1">
        <f t="shared" si="14"/>
        <v>-203775.28860498057</v>
      </c>
      <c r="AC29" s="1">
        <f t="shared" si="14"/>
        <v>-202201.56876256809</v>
      </c>
      <c r="AD29" s="1">
        <f t="shared" si="14"/>
        <v>-203258.14729071193</v>
      </c>
      <c r="AE29" s="1">
        <f t="shared" si="14"/>
        <v>-202201.56876256809</v>
      </c>
      <c r="AF29" s="1">
        <f t="shared" si="14"/>
        <v>-200666.78541474949</v>
      </c>
      <c r="AG29" s="1">
        <f t="shared" si="14"/>
        <v>-202171.8340011547</v>
      </c>
      <c r="AH29" s="1">
        <f t="shared" si="14"/>
        <v>-200666.78541474949</v>
      </c>
      <c r="AI29" s="1">
        <f t="shared" si="14"/>
        <v>-200666.78541474949</v>
      </c>
      <c r="AX29" s="3"/>
    </row>
    <row r="30" spans="1:55" x14ac:dyDescent="0.25">
      <c r="C30" s="3"/>
      <c r="D30" s="3"/>
      <c r="E30" s="3"/>
      <c r="F30" s="3"/>
      <c r="G30" s="3"/>
      <c r="H30" s="3"/>
      <c r="I30" s="3"/>
      <c r="J30" s="3"/>
      <c r="K30" s="3"/>
      <c r="L30" s="3"/>
      <c r="O30" s="3"/>
      <c r="P30" s="3"/>
      <c r="Q30" s="3"/>
      <c r="R30" s="3"/>
      <c r="S30" s="3"/>
      <c r="T30" s="3"/>
      <c r="U30" s="3"/>
      <c r="V30" s="3"/>
      <c r="W30" s="3"/>
      <c r="X30" s="3"/>
      <c r="AX30" s="3"/>
    </row>
    <row r="31" spans="1:55" x14ac:dyDescent="0.25">
      <c r="C31" s="4" t="s">
        <v>18</v>
      </c>
      <c r="H31"/>
      <c r="I31"/>
      <c r="J31"/>
      <c r="K31"/>
      <c r="L31"/>
      <c r="M31" s="3"/>
      <c r="P31" s="4" t="s">
        <v>18</v>
      </c>
      <c r="AP31" s="3"/>
      <c r="AQ31" s="3"/>
      <c r="AR31" s="3"/>
      <c r="AS31" s="3"/>
      <c r="AT31" s="3"/>
      <c r="AU31" s="3"/>
      <c r="AV31" s="3"/>
      <c r="AW31" s="3"/>
      <c r="AX31" s="3"/>
    </row>
    <row r="32" spans="1:55" x14ac:dyDescent="0.25">
      <c r="C32" s="1" t="s">
        <v>13</v>
      </c>
      <c r="D32" s="1" t="s">
        <v>4</v>
      </c>
      <c r="E32" s="1" t="s">
        <v>2</v>
      </c>
      <c r="F32" s="3" t="s">
        <v>6</v>
      </c>
      <c r="G32" s="3" t="s">
        <v>8</v>
      </c>
      <c r="H32" s="3" t="s">
        <v>14</v>
      </c>
      <c r="I32" s="3" t="s">
        <v>20</v>
      </c>
      <c r="J32" s="3" t="s">
        <v>21</v>
      </c>
      <c r="K32" s="3" t="s">
        <v>22</v>
      </c>
      <c r="L32" s="3" t="s">
        <v>15</v>
      </c>
      <c r="M32" s="3"/>
      <c r="P32" s="1" t="s">
        <v>4</v>
      </c>
      <c r="Q32" s="1" t="s">
        <v>2</v>
      </c>
      <c r="R32" s="3" t="s">
        <v>6</v>
      </c>
      <c r="S32" s="3" t="s">
        <v>8</v>
      </c>
      <c r="T32" s="3" t="s">
        <v>14</v>
      </c>
      <c r="U32" s="3" t="s">
        <v>20</v>
      </c>
      <c r="V32" s="3" t="s">
        <v>21</v>
      </c>
      <c r="W32" s="3" t="s">
        <v>22</v>
      </c>
      <c r="X32" s="3" t="s">
        <v>15</v>
      </c>
      <c r="AA32" s="3" t="s">
        <v>33</v>
      </c>
      <c r="AB32" s="3" t="s">
        <v>28</v>
      </c>
      <c r="AC32" s="3" t="s">
        <v>30</v>
      </c>
      <c r="AD32" s="3" t="s">
        <v>29</v>
      </c>
      <c r="AE32" s="3" t="s">
        <v>31</v>
      </c>
      <c r="AF32" s="3" t="s">
        <v>34</v>
      </c>
      <c r="AG32" s="3" t="s">
        <v>20</v>
      </c>
      <c r="AH32" s="3" t="s">
        <v>21</v>
      </c>
      <c r="AI32" s="3" t="s">
        <v>22</v>
      </c>
      <c r="AK32">
        <v>2</v>
      </c>
      <c r="AL32">
        <v>2</v>
      </c>
      <c r="AM32">
        <v>2</v>
      </c>
      <c r="AP32" s="3"/>
      <c r="AQ32" s="1" t="s">
        <v>4</v>
      </c>
      <c r="AR32" s="1" t="s">
        <v>2</v>
      </c>
      <c r="AS32" s="3" t="s">
        <v>6</v>
      </c>
      <c r="AT32" s="3" t="s">
        <v>8</v>
      </c>
      <c r="AU32" t="s">
        <v>14</v>
      </c>
      <c r="AV32" s="3"/>
      <c r="AW32" s="3"/>
      <c r="AX32" s="3"/>
    </row>
    <row r="33" spans="1:50" x14ac:dyDescent="0.25">
      <c r="C33" s="3">
        <v>0</v>
      </c>
      <c r="D33" s="3">
        <v>2</v>
      </c>
      <c r="E33" s="3">
        <v>4</v>
      </c>
      <c r="F33" s="3">
        <v>3</v>
      </c>
      <c r="G33" s="3">
        <v>5</v>
      </c>
      <c r="H33" s="3">
        <v>1</v>
      </c>
      <c r="I33" s="3">
        <v>6</v>
      </c>
      <c r="J33" s="3">
        <v>7</v>
      </c>
      <c r="K33" s="3">
        <v>8</v>
      </c>
      <c r="L33" s="3"/>
      <c r="M33" s="3"/>
      <c r="O33" s="3">
        <v>0</v>
      </c>
      <c r="P33" s="3">
        <v>2</v>
      </c>
      <c r="Q33" s="3">
        <v>4</v>
      </c>
      <c r="R33" s="3">
        <v>3</v>
      </c>
      <c r="S33" s="3">
        <v>5</v>
      </c>
      <c r="T33" s="3">
        <v>1</v>
      </c>
      <c r="U33" s="3">
        <v>6</v>
      </c>
      <c r="V33" s="3">
        <v>7</v>
      </c>
      <c r="W33" s="3">
        <v>8</v>
      </c>
      <c r="X33" s="3"/>
      <c r="AA33" s="3">
        <v>0</v>
      </c>
      <c r="AB33" s="3">
        <v>2</v>
      </c>
      <c r="AC33" s="3">
        <v>4</v>
      </c>
      <c r="AD33" s="3">
        <v>3</v>
      </c>
      <c r="AE33" s="3">
        <v>5</v>
      </c>
      <c r="AF33" s="3">
        <v>1</v>
      </c>
      <c r="AG33" s="3">
        <v>6</v>
      </c>
      <c r="AH33" s="3">
        <v>7</v>
      </c>
      <c r="AI33" s="3">
        <v>8</v>
      </c>
      <c r="AP33" s="3"/>
      <c r="AQ33" s="1"/>
      <c r="AR33" s="1"/>
      <c r="AS33" s="3"/>
      <c r="AT33" s="3"/>
      <c r="AV33" s="3"/>
      <c r="AW33" s="3"/>
      <c r="AX33" s="3"/>
    </row>
    <row r="34" spans="1:50" x14ac:dyDescent="0.25">
      <c r="A34">
        <v>0</v>
      </c>
      <c r="C34" s="1">
        <f t="shared" ref="C34:L40" si="17">liqEnthalpy($A$2,$A34,Press,C$33)</f>
        <v>-241799.93066346829</v>
      </c>
      <c r="D34" s="1">
        <f t="shared" si="17"/>
        <v>-241799.93066346829</v>
      </c>
      <c r="E34" s="1">
        <f>liqEnthalpy($A$2,$A34,Press,E$33)</f>
        <v>-241799.93066346829</v>
      </c>
      <c r="F34" s="1">
        <f t="shared" si="17"/>
        <v>-241799.93066346829</v>
      </c>
      <c r="G34" s="1">
        <f t="shared" si="17"/>
        <v>-241799.93066346829</v>
      </c>
      <c r="H34" s="1">
        <f>liqEnthalpy($A$2,$A34,Press,H$33)</f>
        <v>-279893.6304178299</v>
      </c>
      <c r="I34" s="1">
        <f t="shared" si="17"/>
        <v>-241799.93066346829</v>
      </c>
      <c r="J34" s="1">
        <f>liqEnthalpy($A$2,$A34,Press,J$33)</f>
        <v>-279893.6304178299</v>
      </c>
      <c r="K34" s="1">
        <f>liqEnthalpy($A$2,$A34,Press,K$33)</f>
        <v>-279893.6304178299</v>
      </c>
      <c r="L34" s="1">
        <f t="shared" si="17"/>
        <v>-241799.93066346829</v>
      </c>
      <c r="M34" s="3"/>
      <c r="N34">
        <f t="shared" ref="N34:N40" si="18">A34</f>
        <v>0</v>
      </c>
      <c r="O34" s="22">
        <f t="shared" ref="O34:X34" si="19">liqEnthalpy($A$3,$N34,Press,O$33)</f>
        <v>-276706.68645443901</v>
      </c>
      <c r="P34" s="22">
        <f t="shared" si="19"/>
        <v>-271342.04222689063</v>
      </c>
      <c r="Q34" s="22">
        <f t="shared" si="19"/>
        <v>-276703.56585976022</v>
      </c>
      <c r="R34" s="22">
        <f t="shared" si="19"/>
        <v>-277535.36528435262</v>
      </c>
      <c r="S34" s="22">
        <f t="shared" si="19"/>
        <v>-276703.56585976022</v>
      </c>
      <c r="T34" s="22">
        <f t="shared" si="19"/>
        <v>-268660.34487379569</v>
      </c>
      <c r="U34" s="22">
        <f>liqEnthalpy($A$3,$N34,Press,U$33)</f>
        <v>-286338.89766125038</v>
      </c>
      <c r="V34" s="22">
        <f>liqEnthalpy($A$3,$N34,Press,V$33)</f>
        <v>-268660.34487379569</v>
      </c>
      <c r="W34" s="22">
        <f t="shared" si="19"/>
        <v>-268660.34487379569</v>
      </c>
      <c r="X34" s="22">
        <f t="shared" si="19"/>
        <v>-276706.68645443901</v>
      </c>
      <c r="AA34" s="1">
        <f>liqenthalpy2($A$2:$A$3,$B$2:$B$3,$A34,Press,AA$22)</f>
        <v>-276706.68645443901</v>
      </c>
      <c r="AB34" s="1">
        <f>liqenthalpy2($A$2:$A$3,$B$2:$B$3,$A34,Press,AB$22)</f>
        <v>-289230.72036516463</v>
      </c>
      <c r="AC34" s="1">
        <f t="shared" ref="AA34:AI40" si="20">liqenthalpy2($A$2:$A$3,$B$2:$B$3,$A34,Press,AC$22)</f>
        <v>-276703.56585976022</v>
      </c>
      <c r="AD34" s="1">
        <f t="shared" si="20"/>
        <v>-277535.36528435262</v>
      </c>
      <c r="AE34" s="1">
        <f t="shared" si="20"/>
        <v>-276703.56585976022</v>
      </c>
      <c r="AF34" s="1">
        <f>liqenthalpy2($A$2:$A$3,$B$2:$B$3,$A34,Press,AF$22)</f>
        <v>-268660.33951523784</v>
      </c>
      <c r="AG34" s="1">
        <f t="shared" si="20"/>
        <v>-286338.89766125038</v>
      </c>
      <c r="AH34" s="1">
        <f t="shared" si="20"/>
        <v>-268660.33951523784</v>
      </c>
      <c r="AI34" s="1">
        <f t="shared" si="20"/>
        <v>-268660.33951523784</v>
      </c>
      <c r="AK34" s="1">
        <f>liqEnthalpy($A$2,$A9,Press,2)</f>
        <v>-241799.93066346829</v>
      </c>
      <c r="AL34" s="1" t="e">
        <f t="shared" ref="AL34:AL40" si="21">liqEnthalpy($A$3,$A9,Press,2)</f>
        <v>#VALUE!</v>
      </c>
      <c r="AM34" s="1">
        <f t="shared" ref="AM34:AM40" si="22">liqenthalpy2($A$2:$A$3,$B$2:$B$3,$A34,Press,AM$32)</f>
        <v>-289230.72036516463</v>
      </c>
      <c r="AN34" s="8" t="e">
        <f>AK34*$B$2+AL34*$B$3</f>
        <v>#VALUE!</v>
      </c>
      <c r="AP34" s="3"/>
      <c r="AQ34" s="3"/>
      <c r="AR34" s="3"/>
      <c r="AS34" s="3"/>
      <c r="AT34" s="3"/>
      <c r="AV34" s="3"/>
      <c r="AW34" s="3"/>
      <c r="AX34" s="3"/>
    </row>
    <row r="35" spans="1:50" x14ac:dyDescent="0.25">
      <c r="A35">
        <f>A34+25</f>
        <v>25</v>
      </c>
      <c r="C35" s="1">
        <f t="shared" si="17"/>
        <v>-288917.75998635119</v>
      </c>
      <c r="D35" s="1">
        <f t="shared" si="17"/>
        <v>-280798.80507217249</v>
      </c>
      <c r="E35" s="1">
        <f t="shared" si="17"/>
        <v>-287538.73867390363</v>
      </c>
      <c r="F35" s="1">
        <f t="shared" si="17"/>
        <v>-288817.28152346262</v>
      </c>
      <c r="G35" s="1">
        <f t="shared" si="17"/>
        <v>-287538.73867390363</v>
      </c>
      <c r="H35" s="1">
        <f t="shared" si="17"/>
        <v>-277374.99939965893</v>
      </c>
      <c r="I35" s="1">
        <f t="shared" si="17"/>
        <v>-303095.29749867233</v>
      </c>
      <c r="J35" s="1">
        <f t="shared" si="17"/>
        <v>-277374.99939965893</v>
      </c>
      <c r="K35" s="1">
        <f t="shared" si="17"/>
        <v>-277374.99939965893</v>
      </c>
      <c r="L35" s="1">
        <f t="shared" si="17"/>
        <v>-288917.75998635119</v>
      </c>
      <c r="M35" s="3"/>
      <c r="N35">
        <f t="shared" si="18"/>
        <v>25</v>
      </c>
      <c r="O35" s="22">
        <f t="shared" ref="O35:X40" si="23">liqEnthalpy($A$3,$N35,Press,O$33)</f>
        <v>-272943.45842504792</v>
      </c>
      <c r="P35" s="22">
        <f t="shared" si="23"/>
        <v>-267268.88280179846</v>
      </c>
      <c r="Q35" s="22">
        <f t="shared" si="23"/>
        <v>-273110.67187864467</v>
      </c>
      <c r="R35" s="22">
        <f t="shared" si="23"/>
        <v>-273820.17977299902</v>
      </c>
      <c r="S35" s="22">
        <f t="shared" si="23"/>
        <v>-273110.67187864467</v>
      </c>
      <c r="T35" s="22">
        <f t="shared" si="23"/>
        <v>-264990.52190255013</v>
      </c>
      <c r="U35" s="22">
        <f>liqEnthalpy($A$3,$N35,Press,U$33)</f>
        <v>-280000.43175880262</v>
      </c>
      <c r="V35" s="22">
        <f t="shared" si="23"/>
        <v>-264990.52190255013</v>
      </c>
      <c r="W35" s="22">
        <f t="shared" si="23"/>
        <v>-264990.52190255013</v>
      </c>
      <c r="X35" s="22">
        <f t="shared" si="23"/>
        <v>-272943.45842504792</v>
      </c>
      <c r="AA35" s="1">
        <f t="shared" si="20"/>
        <v>-272943.45842504792</v>
      </c>
      <c r="AB35" s="1">
        <f t="shared" si="20"/>
        <v>-284465.71824606642</v>
      </c>
      <c r="AC35" s="1">
        <f t="shared" si="20"/>
        <v>-273110.67187864467</v>
      </c>
      <c r="AD35" s="1">
        <f t="shared" si="20"/>
        <v>-273820.17977299902</v>
      </c>
      <c r="AE35" s="1">
        <f t="shared" si="20"/>
        <v>-273110.67187864467</v>
      </c>
      <c r="AF35" s="1">
        <f>liqenthalpy2($A$2:$A$3,$B$2:$B$3,$A35,Press,AF$22)</f>
        <v>-264990.51786752231</v>
      </c>
      <c r="AG35" s="1">
        <f t="shared" si="20"/>
        <v>-280000.43175880262</v>
      </c>
      <c r="AH35" s="1">
        <f t="shared" si="20"/>
        <v>-264990.51786752231</v>
      </c>
      <c r="AI35" s="1">
        <f t="shared" si="20"/>
        <v>-264990.51786752231</v>
      </c>
      <c r="AK35" s="1">
        <f t="shared" ref="AK35:AK40" si="24">liqEnthalpy($A$2,$A10,Press,2)</f>
        <v>-241799.93066346829</v>
      </c>
      <c r="AL35" s="1" t="e">
        <f t="shared" si="21"/>
        <v>#VALUE!</v>
      </c>
      <c r="AM35" s="1">
        <f t="shared" si="22"/>
        <v>-284465.71824606642</v>
      </c>
      <c r="AN35" s="8" t="e">
        <f t="shared" ref="AN35:AN40" si="25">AK35*$B$2+AL35*$B$3</f>
        <v>#VALUE!</v>
      </c>
      <c r="AP35" s="3"/>
      <c r="AQ35" s="3"/>
      <c r="AR35" s="3"/>
      <c r="AS35" s="3"/>
      <c r="AT35" s="3"/>
      <c r="AV35" s="3"/>
      <c r="AW35" s="3"/>
      <c r="AX35" s="3"/>
    </row>
    <row r="36" spans="1:50" x14ac:dyDescent="0.25">
      <c r="A36">
        <f t="shared" ref="A36:A40" si="26">A35+25</f>
        <v>50</v>
      </c>
      <c r="C36" s="1">
        <f t="shared" si="17"/>
        <v>-286782.73502620764</v>
      </c>
      <c r="D36" s="1">
        <f t="shared" si="17"/>
        <v>-278133.3725451089</v>
      </c>
      <c r="E36" s="1">
        <f>liqEnthalpy($A$2,$A36,Press,E$33)</f>
        <v>-285510.42642408848</v>
      </c>
      <c r="F36" s="1">
        <f t="shared" si="17"/>
        <v>-286652.66967806622</v>
      </c>
      <c r="G36" s="1">
        <f t="shared" si="17"/>
        <v>-285510.42642408848</v>
      </c>
      <c r="H36" s="1">
        <f t="shared" si="17"/>
        <v>-275062.47614321357</v>
      </c>
      <c r="I36" s="1">
        <f t="shared" si="17"/>
        <v>-298003.12729089439</v>
      </c>
      <c r="J36" s="1">
        <f t="shared" si="17"/>
        <v>-275062.47614321357</v>
      </c>
      <c r="K36" s="1">
        <f t="shared" si="17"/>
        <v>-275062.47614321357</v>
      </c>
      <c r="L36" s="1">
        <f t="shared" si="17"/>
        <v>-286782.73502620764</v>
      </c>
      <c r="N36">
        <f t="shared" si="18"/>
        <v>50</v>
      </c>
      <c r="O36" s="22">
        <f t="shared" si="23"/>
        <v>-268932.99341820268</v>
      </c>
      <c r="P36" s="22">
        <f t="shared" si="23"/>
        <v>-263166.62093248655</v>
      </c>
      <c r="Q36" s="22">
        <f t="shared" si="23"/>
        <v>-269338.0914126198</v>
      </c>
      <c r="R36" s="22">
        <f t="shared" si="23"/>
        <v>-269931.54385192774</v>
      </c>
      <c r="S36" s="22">
        <f t="shared" si="23"/>
        <v>-269338.0914126198</v>
      </c>
      <c r="T36" s="22">
        <f t="shared" si="23"/>
        <v>-261289.01271105735</v>
      </c>
      <c r="U36" s="22">
        <f t="shared" si="23"/>
        <v>-273732.40189461311</v>
      </c>
      <c r="V36" s="22">
        <f t="shared" si="23"/>
        <v>-261289.01271105735</v>
      </c>
      <c r="W36" s="22">
        <f t="shared" si="23"/>
        <v>-261289.01271105735</v>
      </c>
      <c r="X36" s="22">
        <f t="shared" si="23"/>
        <v>-268932.99341820268</v>
      </c>
      <c r="AA36" s="1">
        <f t="shared" si="20"/>
        <v>-268932.99341820268</v>
      </c>
      <c r="AB36" s="1">
        <f t="shared" si="20"/>
        <v>-279780.96340841148</v>
      </c>
      <c r="AC36" s="1">
        <f t="shared" si="20"/>
        <v>-269338.0914126198</v>
      </c>
      <c r="AD36" s="1">
        <f t="shared" si="20"/>
        <v>-269931.54385192774</v>
      </c>
      <c r="AE36" s="1">
        <f t="shared" si="20"/>
        <v>-269338.0914126198</v>
      </c>
      <c r="AF36" s="1">
        <f>liqenthalpy2($A$2:$A$3,$B$2:$B$3,$A36,Press,AF$22)</f>
        <v>-261289.00856176749</v>
      </c>
      <c r="AG36" s="1">
        <f t="shared" si="20"/>
        <v>-273732.40189461311</v>
      </c>
      <c r="AH36" s="1">
        <f t="shared" si="20"/>
        <v>-261289.00856176749</v>
      </c>
      <c r="AI36" s="1">
        <f t="shared" si="20"/>
        <v>-261289.00856176749</v>
      </c>
      <c r="AK36" s="1">
        <f t="shared" si="24"/>
        <v>-241716.71353398531</v>
      </c>
      <c r="AL36" s="1" t="e">
        <f t="shared" si="21"/>
        <v>#VALUE!</v>
      </c>
      <c r="AM36" s="1">
        <f t="shared" si="22"/>
        <v>-279780.96340841148</v>
      </c>
      <c r="AN36" s="8" t="e">
        <f t="shared" si="25"/>
        <v>#VALUE!</v>
      </c>
      <c r="AP36" s="3"/>
      <c r="AQ36" s="3"/>
      <c r="AR36" s="3"/>
      <c r="AS36" s="3"/>
      <c r="AT36" s="3"/>
      <c r="AV36" s="3"/>
      <c r="AW36" s="3"/>
      <c r="AX36" s="3"/>
    </row>
    <row r="37" spans="1:50" x14ac:dyDescent="0.25">
      <c r="A37">
        <f t="shared" si="26"/>
        <v>75</v>
      </c>
      <c r="C37" s="1">
        <f t="shared" si="17"/>
        <v>-284579.85224855592</v>
      </c>
      <c r="D37" s="1">
        <f t="shared" si="17"/>
        <v>-275617.66877698037</v>
      </c>
      <c r="E37" s="1">
        <f t="shared" si="17"/>
        <v>-283475.13279980986</v>
      </c>
      <c r="F37" s="1">
        <f t="shared" si="17"/>
        <v>-284485.80371992977</v>
      </c>
      <c r="G37" s="1">
        <f t="shared" si="17"/>
        <v>-283475.13279980986</v>
      </c>
      <c r="H37" s="1">
        <f t="shared" si="17"/>
        <v>-272907.88156656729</v>
      </c>
      <c r="I37" s="1">
        <f t="shared" si="17"/>
        <v>-293114.71406196005</v>
      </c>
      <c r="J37" s="1">
        <f t="shared" si="17"/>
        <v>-272907.88156656729</v>
      </c>
      <c r="K37" s="1">
        <f t="shared" si="17"/>
        <v>-272907.88156656729</v>
      </c>
      <c r="L37" s="1">
        <f t="shared" si="17"/>
        <v>-284579.85224855592</v>
      </c>
      <c r="M37" s="3"/>
      <c r="N37">
        <f t="shared" si="18"/>
        <v>75</v>
      </c>
      <c r="O37" s="22">
        <f t="shared" si="23"/>
        <v>-264662.46055041044</v>
      </c>
      <c r="P37" s="22">
        <f t="shared" si="23"/>
        <v>-259001.34141049121</v>
      </c>
      <c r="Q37" s="22">
        <f t="shared" si="23"/>
        <v>-265374.38983063481</v>
      </c>
      <c r="R37" s="22">
        <f t="shared" si="23"/>
        <v>-265858.29705666931</v>
      </c>
      <c r="S37" s="22">
        <f t="shared" si="23"/>
        <v>-265374.38983063481</v>
      </c>
      <c r="T37" s="22">
        <f t="shared" si="23"/>
        <v>-257526.13046714972</v>
      </c>
      <c r="U37" s="22">
        <f t="shared" si="23"/>
        <v>-267523.34388675255</v>
      </c>
      <c r="V37" s="22">
        <f t="shared" si="23"/>
        <v>-257526.13046714972</v>
      </c>
      <c r="W37" s="22">
        <f t="shared" si="23"/>
        <v>-257526.13046714972</v>
      </c>
      <c r="X37" s="22">
        <f t="shared" si="23"/>
        <v>-264662.46055041044</v>
      </c>
      <c r="AA37" s="1">
        <f t="shared" si="20"/>
        <v>-264662.46055041044</v>
      </c>
      <c r="AB37" s="1">
        <f t="shared" si="20"/>
        <v>-275133.02709876921</v>
      </c>
      <c r="AC37" s="1">
        <f t="shared" si="20"/>
        <v>-265374.38983063481</v>
      </c>
      <c r="AD37" s="1">
        <f t="shared" si="20"/>
        <v>-265858.29705666931</v>
      </c>
      <c r="AE37" s="1">
        <f t="shared" si="20"/>
        <v>-265374.38983063481</v>
      </c>
      <c r="AF37" s="1">
        <f t="shared" si="20"/>
        <v>-257526.12810583069</v>
      </c>
      <c r="AG37" s="1">
        <f t="shared" si="20"/>
        <v>-267523.34388675255</v>
      </c>
      <c r="AH37" s="1">
        <f t="shared" si="20"/>
        <v>-257526.12810583069</v>
      </c>
      <c r="AI37" s="1">
        <f t="shared" si="20"/>
        <v>-257526.12810583069</v>
      </c>
      <c r="AK37" s="1">
        <f t="shared" si="24"/>
        <v>-241633.62574784845</v>
      </c>
      <c r="AL37" s="1" t="e">
        <f t="shared" si="21"/>
        <v>#VALUE!</v>
      </c>
      <c r="AM37" s="1">
        <f t="shared" si="22"/>
        <v>-275133.02709876921</v>
      </c>
      <c r="AN37" s="8" t="e">
        <f t="shared" si="25"/>
        <v>#VALUE!</v>
      </c>
      <c r="AP37" s="3"/>
      <c r="AQ37" s="3"/>
      <c r="AR37" s="3"/>
      <c r="AS37" s="3"/>
      <c r="AT37" s="3"/>
      <c r="AV37" s="3"/>
      <c r="AW37" s="3"/>
      <c r="AX37" s="3"/>
    </row>
    <row r="38" spans="1:50" x14ac:dyDescent="0.25">
      <c r="A38">
        <f t="shared" si="26"/>
        <v>100</v>
      </c>
      <c r="C38" s="1">
        <f t="shared" si="17"/>
        <v>-282299.65313829423</v>
      </c>
      <c r="D38" s="1">
        <f t="shared" si="17"/>
        <v>-273216.81835379108</v>
      </c>
      <c r="E38" s="1">
        <f t="shared" si="17"/>
        <v>-281422.99376406672</v>
      </c>
      <c r="F38" s="1">
        <f t="shared" si="17"/>
        <v>-282306.37962859066</v>
      </c>
      <c r="G38" s="1">
        <f t="shared" si="17"/>
        <v>-281422.99376406672</v>
      </c>
      <c r="H38" s="1">
        <f t="shared" si="17"/>
        <v>-270875.03487327002</v>
      </c>
      <c r="I38" s="1">
        <f t="shared" si="17"/>
        <v>-288420.49981015956</v>
      </c>
      <c r="J38" s="1">
        <f t="shared" si="17"/>
        <v>-270875.03487327002</v>
      </c>
      <c r="K38" s="1">
        <f t="shared" si="17"/>
        <v>-270875.03487327002</v>
      </c>
      <c r="L38" s="1">
        <f t="shared" si="17"/>
        <v>-282299.65313829423</v>
      </c>
      <c r="M38" s="3"/>
      <c r="N38">
        <f t="shared" si="18"/>
        <v>100</v>
      </c>
      <c r="O38" s="22">
        <f t="shared" si="23"/>
        <v>-260112.49523297005</v>
      </c>
      <c r="P38" s="22">
        <f t="shared" si="23"/>
        <v>-254741.93603583347</v>
      </c>
      <c r="Q38" s="22">
        <f t="shared" si="23"/>
        <v>-261203.03545605531</v>
      </c>
      <c r="R38" s="22">
        <f t="shared" si="23"/>
        <v>-261584.80270502184</v>
      </c>
      <c r="S38" s="22">
        <f t="shared" si="23"/>
        <v>-261203.03545605531</v>
      </c>
      <c r="T38" s="22">
        <f t="shared" si="23"/>
        <v>-253677.04309700537</v>
      </c>
      <c r="U38" s="22">
        <f t="shared" si="23"/>
        <v>-261357.40440174635</v>
      </c>
      <c r="V38" s="22">
        <f t="shared" si="23"/>
        <v>-253677.04309700537</v>
      </c>
      <c r="W38" s="22">
        <f t="shared" si="23"/>
        <v>-253677.04309700537</v>
      </c>
      <c r="X38" s="22">
        <f t="shared" si="23"/>
        <v>-260112.49523297005</v>
      </c>
      <c r="AA38" s="1">
        <f t="shared" si="20"/>
        <v>-260112.49523297005</v>
      </c>
      <c r="AB38" s="1">
        <f t="shared" si="20"/>
        <v>-270489.00955403096</v>
      </c>
      <c r="AC38" s="1">
        <f t="shared" si="20"/>
        <v>-261203.03545605531</v>
      </c>
      <c r="AD38" s="1">
        <f t="shared" si="20"/>
        <v>-261584.80270502184</v>
      </c>
      <c r="AE38" s="1">
        <f t="shared" si="20"/>
        <v>-261203.03545605531</v>
      </c>
      <c r="AF38" s="1">
        <f t="shared" si="20"/>
        <v>-253677.03932715813</v>
      </c>
      <c r="AG38" s="1">
        <f t="shared" si="20"/>
        <v>-261357.40440174635</v>
      </c>
      <c r="AH38" s="1">
        <f t="shared" si="20"/>
        <v>-253677.03932715813</v>
      </c>
      <c r="AI38" s="1">
        <f t="shared" si="20"/>
        <v>-253677.03932715813</v>
      </c>
      <c r="AK38" s="1">
        <f t="shared" si="24"/>
        <v>-241550.47423931252</v>
      </c>
      <c r="AL38" s="1" t="e">
        <f t="shared" si="21"/>
        <v>#VALUE!</v>
      </c>
      <c r="AM38" s="1">
        <f t="shared" si="22"/>
        <v>-270489.00955403096</v>
      </c>
      <c r="AN38" s="8" t="e">
        <f t="shared" si="25"/>
        <v>#VALUE!</v>
      </c>
      <c r="AP38" s="3"/>
      <c r="AQ38" s="3"/>
      <c r="AR38" s="3"/>
      <c r="AS38" s="3"/>
      <c r="AT38" s="3"/>
      <c r="AV38" s="3"/>
      <c r="AW38" s="3"/>
      <c r="AX38" s="3"/>
    </row>
    <row r="39" spans="1:50" x14ac:dyDescent="0.25">
      <c r="A39">
        <f t="shared" si="26"/>
        <v>125</v>
      </c>
      <c r="C39" s="1">
        <f t="shared" si="17"/>
        <v>-279930.52757677727</v>
      </c>
      <c r="D39" s="1">
        <f t="shared" si="17"/>
        <v>-270901.3583334717</v>
      </c>
      <c r="E39" s="1">
        <f>liqEnthalpy($A$2,$A39,Press,E$33)</f>
        <v>-279343.1009087339</v>
      </c>
      <c r="F39" s="1">
        <f t="shared" si="17"/>
        <v>-280103.13576031534</v>
      </c>
      <c r="G39" s="1">
        <f t="shared" si="17"/>
        <v>-279343.1009087339</v>
      </c>
      <c r="H39" s="1">
        <f t="shared" si="17"/>
        <v>-268935.41052305081</v>
      </c>
      <c r="I39" s="1">
        <f t="shared" si="17"/>
        <v>-283909.4970569479</v>
      </c>
      <c r="J39" s="1">
        <f t="shared" si="17"/>
        <v>-268935.41052305081</v>
      </c>
      <c r="K39" s="1">
        <f t="shared" si="17"/>
        <v>-268935.41052305081</v>
      </c>
      <c r="L39" s="1">
        <f t="shared" si="17"/>
        <v>-279930.52757677727</v>
      </c>
      <c r="M39" s="3"/>
      <c r="N39">
        <f t="shared" si="18"/>
        <v>125</v>
      </c>
      <c r="O39" s="22">
        <f t="shared" si="23"/>
        <v>-255253.41188887539</v>
      </c>
      <c r="P39" s="22">
        <f t="shared" si="23"/>
        <v>-250354.61519867167</v>
      </c>
      <c r="Q39" s="22">
        <f t="shared" si="23"/>
        <v>-256797.87879034108</v>
      </c>
      <c r="R39" s="22">
        <f t="shared" si="23"/>
        <v>-257086.97819157792</v>
      </c>
      <c r="S39" s="22">
        <f t="shared" si="23"/>
        <v>-256797.87879034108</v>
      </c>
      <c r="T39" s="22">
        <f t="shared" si="23"/>
        <v>-249717.40705039172</v>
      </c>
      <c r="U39" s="22">
        <f t="shared" si="23"/>
        <v>-255210.99016542055</v>
      </c>
      <c r="V39" s="22">
        <f t="shared" si="23"/>
        <v>-249717.40705039172</v>
      </c>
      <c r="W39" s="22">
        <f t="shared" si="23"/>
        <v>-249717.40705039172</v>
      </c>
      <c r="X39" s="22">
        <f t="shared" si="23"/>
        <v>-255253.41188887539</v>
      </c>
      <c r="AA39" s="1">
        <f t="shared" si="20"/>
        <v>-255253.41188887539</v>
      </c>
      <c r="AB39" s="1">
        <f t="shared" si="20"/>
        <v>-265823.23149655288</v>
      </c>
      <c r="AC39" s="1">
        <f t="shared" si="20"/>
        <v>-256797.87879034108</v>
      </c>
      <c r="AD39" s="1">
        <f t="shared" si="20"/>
        <v>-257086.97819157792</v>
      </c>
      <c r="AE39" s="1">
        <f t="shared" si="20"/>
        <v>-256797.87879034108</v>
      </c>
      <c r="AF39" s="1">
        <f t="shared" si="20"/>
        <v>-249717.40497182368</v>
      </c>
      <c r="AG39" s="1">
        <f t="shared" si="20"/>
        <v>-255210.99016542055</v>
      </c>
      <c r="AH39" s="1">
        <f t="shared" si="20"/>
        <v>-249717.40497182368</v>
      </c>
      <c r="AI39" s="1">
        <f t="shared" si="20"/>
        <v>-249717.40497182368</v>
      </c>
      <c r="AK39" s="1">
        <f t="shared" si="24"/>
        <v>-241467.12862378571</v>
      </c>
      <c r="AL39" s="1" t="e">
        <f t="shared" si="21"/>
        <v>#VALUE!</v>
      </c>
      <c r="AM39" s="1">
        <f t="shared" si="22"/>
        <v>-265823.23149655288</v>
      </c>
      <c r="AN39" s="8" t="e">
        <f t="shared" si="25"/>
        <v>#VALUE!</v>
      </c>
      <c r="AP39" s="3"/>
      <c r="AQ39" s="3">
        <v>-21640.551636634646</v>
      </c>
      <c r="AR39" s="3"/>
      <c r="AS39" s="3"/>
      <c r="AT39" s="3"/>
      <c r="AV39" s="3"/>
      <c r="AW39" s="3"/>
      <c r="AX39" s="3"/>
    </row>
    <row r="40" spans="1:50" x14ac:dyDescent="0.25">
      <c r="A40">
        <f t="shared" si="26"/>
        <v>150</v>
      </c>
      <c r="C40" s="1">
        <f t="shared" si="17"/>
        <v>-277457.87785975344</v>
      </c>
      <c r="D40" s="1">
        <f t="shared" si="17"/>
        <v>-268644.73029025161</v>
      </c>
      <c r="E40" s="1">
        <f>liqEnthalpy($A$2,$A40,Press,E$33)</f>
        <v>-277222.59914656664</v>
      </c>
      <c r="F40" s="1">
        <f t="shared" si="17"/>
        <v>-277862.92580710212</v>
      </c>
      <c r="G40" s="1">
        <f t="shared" si="17"/>
        <v>-277222.59914656664</v>
      </c>
      <c r="H40" s="1">
        <f t="shared" si="17"/>
        <v>-267065.2579977666</v>
      </c>
      <c r="I40" s="1">
        <f t="shared" si="17"/>
        <v>-279568.84526865545</v>
      </c>
      <c r="J40" s="1">
        <f t="shared" si="17"/>
        <v>-267065.2579977666</v>
      </c>
      <c r="K40" s="1">
        <f t="shared" si="17"/>
        <v>-267065.2579977666</v>
      </c>
      <c r="L40" s="1">
        <f t="shared" si="17"/>
        <v>-277457.87785975344</v>
      </c>
      <c r="M40" s="3"/>
      <c r="N40">
        <f t="shared" si="18"/>
        <v>150</v>
      </c>
      <c r="O40" s="22">
        <f t="shared" si="23"/>
        <v>-250038.01149279103</v>
      </c>
      <c r="P40" s="22">
        <f t="shared" si="23"/>
        <v>-245793.39724522291</v>
      </c>
      <c r="Q40" s="22">
        <f t="shared" si="23"/>
        <v>-252113.04859355645</v>
      </c>
      <c r="R40" s="22">
        <f t="shared" si="23"/>
        <v>-252323.78369579013</v>
      </c>
      <c r="S40" s="22">
        <f t="shared" si="23"/>
        <v>-252113.04859355645</v>
      </c>
      <c r="T40" s="22">
        <f t="shared" si="23"/>
        <v>-245616.92836311462</v>
      </c>
      <c r="U40" s="22">
        <f t="shared" si="23"/>
        <v>-249043.71440547903</v>
      </c>
      <c r="V40" s="22">
        <f t="shared" si="23"/>
        <v>-245616.92836311462</v>
      </c>
      <c r="W40" s="22">
        <f t="shared" si="23"/>
        <v>-245616.92836311462</v>
      </c>
      <c r="X40" s="22">
        <f t="shared" si="23"/>
        <v>-250038.01149279103</v>
      </c>
      <c r="AA40" s="1">
        <f t="shared" si="20"/>
        <v>-250038.01149279103</v>
      </c>
      <c r="AB40" s="1">
        <f t="shared" si="20"/>
        <v>-261114.90997243047</v>
      </c>
      <c r="AC40" s="1">
        <f t="shared" si="20"/>
        <v>-252113.04859355645</v>
      </c>
      <c r="AD40" s="1">
        <f t="shared" si="20"/>
        <v>-252323.78369579013</v>
      </c>
      <c r="AE40" s="1">
        <f t="shared" si="20"/>
        <v>-252113.04859355645</v>
      </c>
      <c r="AF40" s="1">
        <f t="shared" si="20"/>
        <v>-245616.92549688148</v>
      </c>
      <c r="AG40" s="1">
        <f t="shared" si="20"/>
        <v>-249043.71440547903</v>
      </c>
      <c r="AH40" s="1">
        <f t="shared" si="20"/>
        <v>-245616.92549688148</v>
      </c>
      <c r="AI40" s="1">
        <f t="shared" si="20"/>
        <v>-245616.92549688148</v>
      </c>
      <c r="AJ40" s="3"/>
      <c r="AK40" s="1">
        <f t="shared" si="24"/>
        <v>-241383.4519760703</v>
      </c>
      <c r="AL40" s="1" t="e">
        <f t="shared" si="21"/>
        <v>#VALUE!</v>
      </c>
      <c r="AM40" s="1">
        <f t="shared" si="22"/>
        <v>-261114.90997243047</v>
      </c>
      <c r="AN40" s="8" t="e">
        <f t="shared" si="25"/>
        <v>#VALUE!</v>
      </c>
      <c r="AO40" s="3"/>
      <c r="AP40" s="3"/>
      <c r="AQ40" s="3"/>
      <c r="AR40" s="3"/>
      <c r="AS40" s="3"/>
      <c r="AT40" s="3"/>
      <c r="AU40" s="3"/>
      <c r="AV40" s="3"/>
      <c r="AW40" s="3"/>
      <c r="AX40" s="3"/>
    </row>
    <row r="41" spans="1:50" x14ac:dyDescent="0.25">
      <c r="C41" s="1"/>
      <c r="E41" s="1"/>
      <c r="F41" s="21"/>
      <c r="G41" s="21"/>
      <c r="M41" s="3"/>
      <c r="O41" s="1"/>
      <c r="P41" s="1"/>
      <c r="Q41" s="1"/>
      <c r="R41" s="1"/>
      <c r="S41" s="1"/>
      <c r="T41" s="1"/>
      <c r="U41" s="1"/>
      <c r="V41" s="1"/>
      <c r="W41" s="1"/>
      <c r="X41" s="1"/>
      <c r="AA41" s="1"/>
      <c r="AB41" s="1"/>
      <c r="AC41" s="1"/>
      <c r="AD41" s="1"/>
      <c r="AE41" s="1"/>
      <c r="AF41" s="1"/>
      <c r="AG41" s="1"/>
      <c r="AH41" s="1"/>
      <c r="AI41" s="1"/>
      <c r="AJ41" s="3"/>
      <c r="AK41" s="1"/>
      <c r="AL41" s="1"/>
      <c r="AM41" s="1"/>
      <c r="AN41" s="8"/>
      <c r="AO41" s="3"/>
      <c r="AP41" s="3"/>
      <c r="AQ41" s="3"/>
      <c r="AR41" s="3"/>
      <c r="AS41" s="3"/>
      <c r="AT41" s="3"/>
      <c r="AU41" s="3"/>
      <c r="AV41" s="3"/>
      <c r="AW41" s="3"/>
      <c r="AX41" s="3"/>
    </row>
    <row r="42" spans="1:50" x14ac:dyDescent="0.25">
      <c r="M42" s="3"/>
      <c r="P42" s="1"/>
      <c r="T42" s="1"/>
      <c r="U42" s="1"/>
      <c r="V42" s="1"/>
      <c r="W42" s="1"/>
      <c r="X42" s="1"/>
      <c r="Y42" s="3"/>
      <c r="AA42" s="25" t="s">
        <v>163</v>
      </c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</row>
    <row r="43" spans="1:50" ht="30" x14ac:dyDescent="0.25">
      <c r="A43" s="6" t="s">
        <v>24</v>
      </c>
      <c r="C43" s="7" t="s">
        <v>26</v>
      </c>
      <c r="D43" s="7" t="s">
        <v>27</v>
      </c>
      <c r="E43" s="7" t="s">
        <v>28</v>
      </c>
      <c r="F43" s="7" t="s">
        <v>29</v>
      </c>
      <c r="G43" s="7" t="s">
        <v>30</v>
      </c>
      <c r="H43" s="7" t="s">
        <v>31</v>
      </c>
      <c r="I43" s="7" t="s">
        <v>25</v>
      </c>
      <c r="J43" s="7" t="s">
        <v>32</v>
      </c>
      <c r="K43" s="7" t="s">
        <v>22</v>
      </c>
      <c r="L43" s="7" t="s">
        <v>23</v>
      </c>
      <c r="N43" s="6" t="s">
        <v>24</v>
      </c>
      <c r="O43" s="7" t="s">
        <v>26</v>
      </c>
      <c r="P43" s="7" t="s">
        <v>27</v>
      </c>
      <c r="Q43" s="7" t="s">
        <v>28</v>
      </c>
      <c r="R43" s="7" t="s">
        <v>29</v>
      </c>
      <c r="S43" s="7" t="s">
        <v>30</v>
      </c>
      <c r="T43" s="7" t="s">
        <v>31</v>
      </c>
      <c r="U43" s="7" t="s">
        <v>25</v>
      </c>
      <c r="V43" s="7" t="s">
        <v>32</v>
      </c>
      <c r="W43" s="7" t="s">
        <v>22</v>
      </c>
      <c r="X43" s="7" t="s">
        <v>23</v>
      </c>
      <c r="Y43" s="7" t="s">
        <v>161</v>
      </c>
      <c r="AA43" s="7">
        <v>0</v>
      </c>
      <c r="AB43" s="3" t="s">
        <v>33</v>
      </c>
      <c r="AC43" s="3" t="s">
        <v>28</v>
      </c>
      <c r="AD43" s="3" t="s">
        <v>30</v>
      </c>
      <c r="AE43" s="3" t="s">
        <v>29</v>
      </c>
      <c r="AF43" s="3" t="s">
        <v>31</v>
      </c>
      <c r="AG43" s="3" t="s">
        <v>34</v>
      </c>
      <c r="AH43" s="3" t="s">
        <v>20</v>
      </c>
      <c r="AI43" s="3" t="s">
        <v>21</v>
      </c>
      <c r="AJ43" s="3" t="s">
        <v>22</v>
      </c>
      <c r="AT43" s="3"/>
    </row>
    <row r="44" spans="1:50" x14ac:dyDescent="0.25">
      <c r="A44" s="6"/>
      <c r="C44" s="7">
        <v>0</v>
      </c>
      <c r="D44" s="7">
        <v>1</v>
      </c>
      <c r="E44" s="7">
        <v>2</v>
      </c>
      <c r="F44" s="7">
        <v>3</v>
      </c>
      <c r="G44" s="7">
        <v>4</v>
      </c>
      <c r="H44" s="7">
        <v>5</v>
      </c>
      <c r="I44" s="7">
        <v>6</v>
      </c>
      <c r="J44" s="7">
        <v>7</v>
      </c>
      <c r="K44" s="7">
        <v>8</v>
      </c>
      <c r="L44" s="22">
        <v>9</v>
      </c>
      <c r="N44" s="6"/>
      <c r="O44" s="7">
        <v>0</v>
      </c>
      <c r="P44" s="7">
        <v>1</v>
      </c>
      <c r="Q44" s="7">
        <v>2</v>
      </c>
      <c r="R44" s="7">
        <v>3</v>
      </c>
      <c r="S44" s="7">
        <v>4</v>
      </c>
      <c r="T44" s="7">
        <v>5</v>
      </c>
      <c r="U44" s="7">
        <v>6</v>
      </c>
      <c r="V44" s="7">
        <v>7</v>
      </c>
      <c r="W44" s="7">
        <v>8</v>
      </c>
      <c r="X44" s="22">
        <v>9</v>
      </c>
      <c r="Y44" s="22">
        <v>999</v>
      </c>
      <c r="AA44" s="22"/>
      <c r="AB44" s="3">
        <v>0</v>
      </c>
      <c r="AC44" s="3">
        <v>2</v>
      </c>
      <c r="AD44" s="3">
        <v>4</v>
      </c>
      <c r="AE44" s="3">
        <v>3</v>
      </c>
      <c r="AF44" s="3">
        <v>5</v>
      </c>
      <c r="AG44" s="3">
        <v>1</v>
      </c>
      <c r="AH44" s="3">
        <v>6</v>
      </c>
      <c r="AI44" s="3">
        <v>7</v>
      </c>
      <c r="AJ44" s="3">
        <v>8</v>
      </c>
      <c r="AT44" s="3"/>
    </row>
    <row r="45" spans="1:50" x14ac:dyDescent="0.25">
      <c r="A45">
        <v>-20</v>
      </c>
      <c r="C45" s="5">
        <f t="shared" ref="C45:L54" si="27">K($A$2,$A45,Press,C$44)</f>
        <v>0.61165700000000001</v>
      </c>
      <c r="D45" s="5">
        <f t="shared" si="27"/>
        <v>0.61165700000000001</v>
      </c>
      <c r="E45" s="5">
        <f t="shared" si="27"/>
        <v>0.61165700000000001</v>
      </c>
      <c r="F45" s="5">
        <f t="shared" si="27"/>
        <v>0.61165700000000001</v>
      </c>
      <c r="G45" s="5">
        <f t="shared" si="27"/>
        <v>0.61165700000000001</v>
      </c>
      <c r="H45" s="5">
        <f t="shared" si="27"/>
        <v>0.61165700000000001</v>
      </c>
      <c r="I45" s="5">
        <f t="shared" si="27"/>
        <v>0.61165700000000001</v>
      </c>
      <c r="J45" s="5">
        <f t="shared" si="27"/>
        <v>0.61165700000000001</v>
      </c>
      <c r="K45" s="5">
        <f t="shared" si="27"/>
        <v>0.61165700000000001</v>
      </c>
      <c r="L45" s="5">
        <f t="shared" si="27"/>
        <v>0.61165700000000001</v>
      </c>
      <c r="N45">
        <f>A45</f>
        <v>-20</v>
      </c>
      <c r="O45" s="2">
        <f>K($A$3,$N45,Press,O$44)</f>
        <v>1</v>
      </c>
      <c r="P45" s="2">
        <f t="shared" ref="O45:Y54" si="28">K($A$3,$N45,Press,P$44)</f>
        <v>8.1311646104392024E-3</v>
      </c>
      <c r="Q45" s="2">
        <f t="shared" si="28"/>
        <v>4.3460805642343989E-2</v>
      </c>
      <c r="R45" s="2">
        <f t="shared" si="28"/>
        <v>9.1206900265030488E-3</v>
      </c>
      <c r="S45" s="2">
        <f t="shared" si="28"/>
        <v>1.0192486071965086E-2</v>
      </c>
      <c r="T45" s="2">
        <f t="shared" si="28"/>
        <v>1.0192486071965086E-2</v>
      </c>
      <c r="U45" s="2">
        <f t="shared" si="28"/>
        <v>1.0732393717299146E-3</v>
      </c>
      <c r="V45" s="2">
        <f t="shared" si="28"/>
        <v>1.0137043025650825</v>
      </c>
      <c r="W45" s="2">
        <f t="shared" si="28"/>
        <v>1.0125196749374012</v>
      </c>
      <c r="X45" s="2">
        <f t="shared" si="28"/>
        <v>34.153226645659103</v>
      </c>
      <c r="Y45" s="2">
        <f t="shared" si="28"/>
        <v>0</v>
      </c>
      <c r="AA45" s="20">
        <f>A45</f>
        <v>-20</v>
      </c>
      <c r="AB45" s="24">
        <f>KMix($A$2:$A$3,$B$2:$B$3,$B$2:$B$3,$AA45,$E$1,AB$44,$AA$43)</f>
        <v>1</v>
      </c>
      <c r="AC45" s="24">
        <f>KMix($A$2:$A$3,$B$2:$B$3,$B$2:$B$3,$AA45,$E$1,AC$44,$AA$43)</f>
        <v>55604.050063747309</v>
      </c>
      <c r="AD45" s="24">
        <f t="shared" ref="AB45:AJ54" si="29">KMix($A$2:$A$3,$B$2:$B$3,$B$2:$B$3,$AA45,$E$1,AD$44,$AA$43)</f>
        <v>8.2866968479691827E-2</v>
      </c>
      <c r="AE45" s="24">
        <f t="shared" si="29"/>
        <v>6.9360429937206841E-2</v>
      </c>
      <c r="AF45" s="24">
        <f t="shared" si="29"/>
        <v>8.2866968479691827E-2</v>
      </c>
      <c r="AG45" s="24">
        <f t="shared" si="29"/>
        <v>7.0830090886078256E-4</v>
      </c>
      <c r="AH45" s="24">
        <f t="shared" si="29"/>
        <v>6.1789891198667938E-3</v>
      </c>
      <c r="AI45" s="24">
        <f>KMix($A$2:$A$3,$B$2:$B$3,$B$2:$B$3,$AA45,$E$1,AI$44,$AA$43)</f>
        <v>17.391622593046009</v>
      </c>
      <c r="AJ45" s="24">
        <f t="shared" si="29"/>
        <v>46.212500355368029</v>
      </c>
      <c r="AP45" s="3"/>
      <c r="AQ45" s="3"/>
      <c r="AR45" s="3"/>
      <c r="AS45" s="3"/>
      <c r="AT45" s="3"/>
    </row>
    <row r="46" spans="1:50" x14ac:dyDescent="0.25">
      <c r="A46">
        <f>A45+20</f>
        <v>0</v>
      </c>
      <c r="C46" s="5">
        <f t="shared" si="27"/>
        <v>0.61165700000000001</v>
      </c>
      <c r="D46" s="5">
        <f t="shared" si="27"/>
        <v>0.61165700000000001</v>
      </c>
      <c r="E46" s="5">
        <f t="shared" si="27"/>
        <v>0.61165700000000001</v>
      </c>
      <c r="F46" s="5">
        <f t="shared" si="27"/>
        <v>0.61165700000000001</v>
      </c>
      <c r="G46" s="5">
        <f t="shared" si="27"/>
        <v>0.61165700000000001</v>
      </c>
      <c r="H46" s="5">
        <f t="shared" si="27"/>
        <v>0.61165700000000001</v>
      </c>
      <c r="I46" s="5">
        <f t="shared" si="27"/>
        <v>0.61165700000000001</v>
      </c>
      <c r="J46" s="5">
        <f t="shared" si="27"/>
        <v>0.61165700000000001</v>
      </c>
      <c r="K46" s="5">
        <f t="shared" si="27"/>
        <v>0.61165700000000001</v>
      </c>
      <c r="L46" s="5">
        <f t="shared" si="27"/>
        <v>0.61165700000000001</v>
      </c>
      <c r="N46">
        <f t="shared" ref="N46:N53" si="30">A46</f>
        <v>0</v>
      </c>
      <c r="O46" s="2">
        <f t="shared" si="28"/>
        <v>1</v>
      </c>
      <c r="P46" s="2">
        <f>K($A$3,$N46,Press,P$44)</f>
        <v>2.9898727239875141E-2</v>
      </c>
      <c r="Q46" s="2">
        <f t="shared" si="28"/>
        <v>0.12709058810431464</v>
      </c>
      <c r="R46" s="2">
        <f t="shared" si="28"/>
        <v>3.278084081503594E-2</v>
      </c>
      <c r="S46" s="2">
        <f t="shared" si="28"/>
        <v>3.5441212129343487E-2</v>
      </c>
      <c r="T46" s="2">
        <f t="shared" si="28"/>
        <v>3.5441212129343487E-2</v>
      </c>
      <c r="U46" s="2">
        <f t="shared" si="28"/>
        <v>7.4751903582763847E-3</v>
      </c>
      <c r="V46" s="2">
        <f t="shared" si="28"/>
        <v>1.0427842308519302</v>
      </c>
      <c r="W46" s="2">
        <f t="shared" si="28"/>
        <v>1.0350938378803449</v>
      </c>
      <c r="X46" s="2">
        <f t="shared" si="28"/>
        <v>35.25438569182942</v>
      </c>
      <c r="Y46" s="2">
        <f t="shared" si="28"/>
        <v>0</v>
      </c>
      <c r="AA46" s="20">
        <f t="shared" ref="AA46:AA54" si="31">A46</f>
        <v>0</v>
      </c>
      <c r="AB46" s="24">
        <f t="shared" si="29"/>
        <v>1</v>
      </c>
      <c r="AC46" s="24">
        <f t="shared" si="29"/>
        <v>35807.376439366519</v>
      </c>
      <c r="AD46" s="24">
        <f t="shared" si="29"/>
        <v>0.24287946725423931</v>
      </c>
      <c r="AE46" s="24">
        <f t="shared" si="29"/>
        <v>0.21003002389552466</v>
      </c>
      <c r="AF46" s="24">
        <f t="shared" si="29"/>
        <v>0.24287946725423931</v>
      </c>
      <c r="AG46" s="24">
        <f t="shared" si="29"/>
        <v>3.8850171828010891E-3</v>
      </c>
      <c r="AH46" s="24">
        <f t="shared" si="29"/>
        <v>3.5607863601282243E-2</v>
      </c>
      <c r="AI46" s="24">
        <f t="shared" si="29"/>
        <v>1120.1127691463164</v>
      </c>
      <c r="AJ46" s="24">
        <f t="shared" si="29"/>
        <v>2443.6329598829229</v>
      </c>
      <c r="AP46" s="3"/>
      <c r="AQ46" s="3"/>
      <c r="AR46" s="3"/>
      <c r="AS46" s="3"/>
      <c r="AT46" s="3"/>
    </row>
    <row r="47" spans="1:50" x14ac:dyDescent="0.25">
      <c r="A47">
        <f t="shared" ref="A47:A51" si="32">A46+20</f>
        <v>20</v>
      </c>
      <c r="C47" s="5">
        <f t="shared" si="27"/>
        <v>2.3392147667768967E-2</v>
      </c>
      <c r="D47" s="5">
        <f t="shared" si="27"/>
        <v>2.3392147667768967E-2</v>
      </c>
      <c r="E47" s="5">
        <f t="shared" si="27"/>
        <v>2.3392147667768967E-2</v>
      </c>
      <c r="F47" s="5">
        <f t="shared" si="27"/>
        <v>2.3392147667768967E-2</v>
      </c>
      <c r="G47" s="5">
        <f t="shared" si="27"/>
        <v>2.3392147667768967E-2</v>
      </c>
      <c r="H47" s="5">
        <f t="shared" si="27"/>
        <v>2.3392147667768967E-2</v>
      </c>
      <c r="I47" s="5">
        <f t="shared" si="27"/>
        <v>2.3392147667768967E-2</v>
      </c>
      <c r="J47" s="5">
        <f t="shared" si="27"/>
        <v>2.3392147667768967E-2</v>
      </c>
      <c r="K47" s="5">
        <f t="shared" si="27"/>
        <v>2.3392147667768967E-2</v>
      </c>
      <c r="L47" s="5">
        <f t="shared" si="27"/>
        <v>2.3392147667768967E-2</v>
      </c>
      <c r="N47">
        <f t="shared" si="30"/>
        <v>20</v>
      </c>
      <c r="O47" s="2">
        <f t="shared" si="28"/>
        <v>1</v>
      </c>
      <c r="P47" s="2">
        <f t="shared" si="28"/>
        <v>8.9603434088344133E-2</v>
      </c>
      <c r="Q47" s="2">
        <f t="shared" si="28"/>
        <v>0.30846491876637211</v>
      </c>
      <c r="R47" s="2">
        <f>K($A$3,$N47,Press,R$44)</f>
        <v>9.6111809019275948E-2</v>
      </c>
      <c r="S47" s="2">
        <f>K($A$3,$N47,Press,S$44)</f>
        <v>0.10129524141328337</v>
      </c>
      <c r="T47" s="2">
        <f t="shared" si="28"/>
        <v>0.10129524141328337</v>
      </c>
      <c r="U47" s="2">
        <f t="shared" si="28"/>
        <v>3.6046852486173633E-2</v>
      </c>
      <c r="V47" s="2">
        <f t="shared" si="28"/>
        <v>1.116097893958697</v>
      </c>
      <c r="W47" s="2">
        <f t="shared" si="28"/>
        <v>1.0879028392892391</v>
      </c>
      <c r="X47" s="2">
        <f t="shared" si="28"/>
        <v>36.205292778774712</v>
      </c>
      <c r="Y47" s="2">
        <f t="shared" si="28"/>
        <v>0</v>
      </c>
      <c r="AA47" s="20">
        <f t="shared" si="31"/>
        <v>20</v>
      </c>
      <c r="AB47" s="24">
        <f t="shared" si="29"/>
        <v>1</v>
      </c>
      <c r="AC47" s="24">
        <f t="shared" si="29"/>
        <v>24540.665722990067</v>
      </c>
      <c r="AD47" s="24">
        <f t="shared" si="29"/>
        <v>0.60028184443316523</v>
      </c>
      <c r="AE47" s="24">
        <f t="shared" si="29"/>
        <v>0.53266012609744429</v>
      </c>
      <c r="AF47" s="24">
        <f t="shared" si="29"/>
        <v>0.60028184443316523</v>
      </c>
      <c r="AG47" s="24">
        <f t="shared" si="29"/>
        <v>1.6406383177328909E-2</v>
      </c>
      <c r="AH47" s="24">
        <f t="shared" si="29"/>
        <v>0.14855033652787528</v>
      </c>
      <c r="AI47" s="24">
        <f t="shared" si="29"/>
        <v>3767729.9301429125</v>
      </c>
      <c r="AJ47" s="24">
        <f t="shared" si="29"/>
        <v>2126982.6190756517</v>
      </c>
      <c r="AP47" s="3"/>
      <c r="AQ47" s="3"/>
      <c r="AR47" s="3"/>
      <c r="AS47" s="3"/>
      <c r="AT47" s="3"/>
    </row>
    <row r="48" spans="1:50" x14ac:dyDescent="0.25">
      <c r="A48">
        <f t="shared" si="32"/>
        <v>40</v>
      </c>
      <c r="C48" s="5">
        <f t="shared" si="27"/>
        <v>7.3844274870695517E-2</v>
      </c>
      <c r="D48" s="5">
        <f t="shared" si="27"/>
        <v>7.3844274870695517E-2</v>
      </c>
      <c r="E48" s="5">
        <f t="shared" si="27"/>
        <v>7.3844274870695517E-2</v>
      </c>
      <c r="F48" s="5">
        <f t="shared" si="27"/>
        <v>7.3844274870695517E-2</v>
      </c>
      <c r="G48" s="5">
        <f t="shared" si="27"/>
        <v>7.3844274870695517E-2</v>
      </c>
      <c r="H48" s="5">
        <f t="shared" si="27"/>
        <v>7.3844274870695517E-2</v>
      </c>
      <c r="I48" s="5">
        <f t="shared" si="27"/>
        <v>7.3844274870695517E-2</v>
      </c>
      <c r="J48" s="5">
        <f t="shared" si="27"/>
        <v>7.3844274870695517E-2</v>
      </c>
      <c r="K48" s="5">
        <f t="shared" si="27"/>
        <v>7.3844274870695517E-2</v>
      </c>
      <c r="L48" s="5">
        <f t="shared" si="27"/>
        <v>7.3844274870695517E-2</v>
      </c>
      <c r="N48">
        <f t="shared" si="30"/>
        <v>40</v>
      </c>
      <c r="O48" s="2">
        <f t="shared" si="28"/>
        <v>1</v>
      </c>
      <c r="P48" s="2">
        <f>K($A$3,$N48,Press,P$44)</f>
        <v>0.22811861680430573</v>
      </c>
      <c r="Q48" s="2">
        <f>K($A$3,$N48,Press,Q$44)</f>
        <v>0.64719091466002798</v>
      </c>
      <c r="R48" s="2">
        <f t="shared" si="28"/>
        <v>0.23938749850083726</v>
      </c>
      <c r="S48" s="2">
        <f>K($A$3,$N48,Press,S$44)</f>
        <v>0.24738825509126544</v>
      </c>
      <c r="T48" s="2">
        <f t="shared" si="28"/>
        <v>0.24738825509126544</v>
      </c>
      <c r="U48" s="2">
        <f t="shared" si="28"/>
        <v>0.13004621563143867</v>
      </c>
      <c r="V48" s="2">
        <f t="shared" si="28"/>
        <v>1.2876928746169314</v>
      </c>
      <c r="W48" s="2">
        <f t="shared" si="28"/>
        <v>1.2037813883889454</v>
      </c>
      <c r="X48" s="2">
        <f t="shared" si="28"/>
        <v>37.034736402594305</v>
      </c>
      <c r="Y48" s="2">
        <f t="shared" si="28"/>
        <v>0</v>
      </c>
      <c r="AA48" s="20">
        <f t="shared" si="31"/>
        <v>40</v>
      </c>
      <c r="AB48" s="24">
        <f t="shared" si="29"/>
        <v>1</v>
      </c>
      <c r="AC48" s="24">
        <f t="shared" si="29"/>
        <v>17667.962032817799</v>
      </c>
      <c r="AD48" s="24">
        <f t="shared" si="29"/>
        <v>1.2940962454489657</v>
      </c>
      <c r="AE48" s="24">
        <f t="shared" si="29"/>
        <v>1.1721496403301901</v>
      </c>
      <c r="AF48" s="24">
        <f t="shared" si="29"/>
        <v>1.2940962454489657</v>
      </c>
      <c r="AG48" s="24">
        <f t="shared" si="29"/>
        <v>5.6198289358815053E-2</v>
      </c>
      <c r="AH48" s="24">
        <f t="shared" si="29"/>
        <v>0.47988291650924159</v>
      </c>
      <c r="AI48" s="24">
        <f t="shared" si="29"/>
        <v>5862020234905.8701</v>
      </c>
      <c r="AJ48" s="24">
        <f t="shared" si="29"/>
        <v>105276113307.745</v>
      </c>
      <c r="AP48" s="3"/>
      <c r="AQ48" s="3"/>
      <c r="AR48" s="3"/>
      <c r="AS48" s="3"/>
      <c r="AT48" s="3"/>
    </row>
    <row r="49" spans="1:50" x14ac:dyDescent="0.25">
      <c r="A49">
        <f t="shared" si="32"/>
        <v>60</v>
      </c>
      <c r="C49" s="5">
        <f t="shared" si="27"/>
        <v>0.19945801924678747</v>
      </c>
      <c r="D49" s="5">
        <f t="shared" si="27"/>
        <v>0.19945801924678747</v>
      </c>
      <c r="E49" s="5">
        <f t="shared" si="27"/>
        <v>0.19945801924678747</v>
      </c>
      <c r="F49" s="5">
        <f t="shared" si="27"/>
        <v>0.19945801924678747</v>
      </c>
      <c r="G49" s="5">
        <f t="shared" si="27"/>
        <v>0.19945801924678747</v>
      </c>
      <c r="H49" s="5">
        <f t="shared" si="27"/>
        <v>0.19945801924678747</v>
      </c>
      <c r="I49" s="5">
        <f t="shared" si="27"/>
        <v>0.19945801924678747</v>
      </c>
      <c r="J49" s="5">
        <f t="shared" si="27"/>
        <v>0.19945801924678747</v>
      </c>
      <c r="K49" s="5">
        <f t="shared" si="27"/>
        <v>0.19945801924678747</v>
      </c>
      <c r="L49" s="5">
        <f t="shared" si="27"/>
        <v>0.19945801924678747</v>
      </c>
      <c r="N49">
        <f t="shared" si="30"/>
        <v>60</v>
      </c>
      <c r="O49" s="2">
        <f t="shared" si="28"/>
        <v>1</v>
      </c>
      <c r="P49" s="2">
        <f>K($A$3,$N49,Press,P$44)</f>
        <v>0.50909190937812709</v>
      </c>
      <c r="Q49" s="2">
        <f>K($A$3,$N49,Press,Q$44)</f>
        <v>1.2093249834010296</v>
      </c>
      <c r="R49" s="2">
        <f t="shared" si="28"/>
        <v>0.52219774309651423</v>
      </c>
      <c r="S49" s="2">
        <f t="shared" si="28"/>
        <v>0.53157995962169458</v>
      </c>
      <c r="T49" s="2">
        <f t="shared" si="28"/>
        <v>0.53157995962169458</v>
      </c>
      <c r="U49" s="2">
        <f t="shared" si="28"/>
        <v>0.37208741175951371</v>
      </c>
      <c r="V49" s="2">
        <f t="shared" si="28"/>
        <v>1.6869844664393989</v>
      </c>
      <c r="W49" s="2">
        <f t="shared" si="28"/>
        <v>1.4540338167162639</v>
      </c>
      <c r="X49" s="2">
        <f t="shared" si="28"/>
        <v>37.764592018151021</v>
      </c>
      <c r="Y49" s="2">
        <f t="shared" si="28"/>
        <v>0</v>
      </c>
      <c r="AA49" s="20">
        <f t="shared" si="31"/>
        <v>60</v>
      </c>
      <c r="AB49" s="24">
        <f t="shared" si="29"/>
        <v>1</v>
      </c>
      <c r="AC49" s="24">
        <f t="shared" si="29"/>
        <v>13229.28761623307</v>
      </c>
      <c r="AD49" s="24">
        <f t="shared" si="29"/>
        <v>2.4959532330038199</v>
      </c>
      <c r="AE49" s="24">
        <f t="shared" si="29"/>
        <v>2.2982086614276755</v>
      </c>
      <c r="AF49" s="24">
        <f t="shared" si="29"/>
        <v>2.4959532330038199</v>
      </c>
      <c r="AG49" s="24">
        <f t="shared" si="29"/>
        <v>0.16242451358628468</v>
      </c>
      <c r="AH49" s="24">
        <f t="shared" si="29"/>
        <v>1.2625778428304451</v>
      </c>
      <c r="AI49" s="24">
        <f t="shared" si="29"/>
        <v>5.6745998659286878E+22</v>
      </c>
      <c r="AJ49" s="24">
        <f t="shared" si="29"/>
        <v>1.3265544302547991E+18</v>
      </c>
      <c r="AP49" s="3"/>
      <c r="AQ49" s="3"/>
      <c r="AR49" s="3"/>
      <c r="AS49" s="3"/>
      <c r="AT49" s="3"/>
    </row>
    <row r="50" spans="1:50" x14ac:dyDescent="0.25">
      <c r="A50">
        <f t="shared" si="32"/>
        <v>80</v>
      </c>
      <c r="C50" s="5">
        <f t="shared" si="27"/>
        <v>0.4741471992637834</v>
      </c>
      <c r="D50" s="5">
        <f t="shared" si="27"/>
        <v>0.4741471992637834</v>
      </c>
      <c r="E50" s="5">
        <f t="shared" si="27"/>
        <v>0.4741471992637834</v>
      </c>
      <c r="F50" s="5">
        <f t="shared" si="27"/>
        <v>0.4741471992637834</v>
      </c>
      <c r="G50" s="5">
        <f t="shared" si="27"/>
        <v>0.4741471992637834</v>
      </c>
      <c r="H50" s="5">
        <f t="shared" si="27"/>
        <v>0.4741471992637834</v>
      </c>
      <c r="I50" s="5">
        <f t="shared" si="27"/>
        <v>0.4741471992637834</v>
      </c>
      <c r="J50" s="5">
        <f t="shared" si="27"/>
        <v>0.4741471992637834</v>
      </c>
      <c r="K50" s="5">
        <f t="shared" si="27"/>
        <v>0.4741471992637834</v>
      </c>
      <c r="L50" s="5">
        <f t="shared" si="27"/>
        <v>0.4741471992637834</v>
      </c>
      <c r="N50">
        <f t="shared" si="30"/>
        <v>80</v>
      </c>
      <c r="O50" s="2">
        <f t="shared" si="28"/>
        <v>1</v>
      </c>
      <c r="P50" s="2">
        <f t="shared" si="28"/>
        <v>1.0204010800151451</v>
      </c>
      <c r="Q50" s="2">
        <f t="shared" si="28"/>
        <v>2.0578321992666493</v>
      </c>
      <c r="R50" s="2">
        <f t="shared" si="28"/>
        <v>1.0211687293395357</v>
      </c>
      <c r="S50" s="2">
        <f t="shared" si="28"/>
        <v>1.0276955871768145</v>
      </c>
      <c r="T50" s="2">
        <f t="shared" si="28"/>
        <v>1.0276955871768145</v>
      </c>
      <c r="U50" s="2">
        <f t="shared" si="28"/>
        <v>0.88282990692003138</v>
      </c>
      <c r="V50" s="2">
        <f t="shared" si="28"/>
        <v>2.688403712533872</v>
      </c>
      <c r="W50" s="2">
        <f t="shared" si="28"/>
        <v>2.0179476868307717</v>
      </c>
      <c r="X50" s="2">
        <f t="shared" si="28"/>
        <v>38.411779575878853</v>
      </c>
      <c r="Y50" s="2">
        <f t="shared" si="28"/>
        <v>0</v>
      </c>
      <c r="AA50" s="20">
        <f t="shared" si="31"/>
        <v>80</v>
      </c>
      <c r="AB50" s="24">
        <f t="shared" si="29"/>
        <v>1</v>
      </c>
      <c r="AC50" s="24">
        <f t="shared" si="29"/>
        <v>10223.091647422107</v>
      </c>
      <c r="AD50" s="24">
        <f t="shared" si="29"/>
        <v>4.3908774933497092</v>
      </c>
      <c r="AE50" s="24">
        <f t="shared" si="29"/>
        <v>4.0966791810202157</v>
      </c>
      <c r="AF50" s="24">
        <f t="shared" si="29"/>
        <v>4.3908774933497092</v>
      </c>
      <c r="AG50" s="24">
        <f t="shared" si="29"/>
        <v>0.40831162386443387</v>
      </c>
      <c r="AH50" s="24">
        <f t="shared" si="29"/>
        <v>2.8117223793530806</v>
      </c>
      <c r="AI50" s="24">
        <f t="shared" si="29"/>
        <v>5.8883112486412754E+37</v>
      </c>
      <c r="AJ50" s="24">
        <f t="shared" si="29"/>
        <v>2.4183831430213606E+28</v>
      </c>
      <c r="AP50" s="3"/>
      <c r="AQ50" s="3"/>
      <c r="AR50" s="3"/>
      <c r="AS50" s="3"/>
      <c r="AT50" s="3"/>
    </row>
    <row r="51" spans="1:50" x14ac:dyDescent="0.25">
      <c r="A51">
        <f t="shared" si="32"/>
        <v>100</v>
      </c>
      <c r="C51" s="5">
        <f t="shared" si="27"/>
        <v>1.0141797792130998</v>
      </c>
      <c r="D51" s="5">
        <f t="shared" si="27"/>
        <v>1.0141797792130998</v>
      </c>
      <c r="E51" s="5">
        <f t="shared" si="27"/>
        <v>1.0141797792130998</v>
      </c>
      <c r="F51" s="5">
        <f t="shared" si="27"/>
        <v>1.0141797792130998</v>
      </c>
      <c r="G51" s="5">
        <f t="shared" si="27"/>
        <v>1.0141797792130998</v>
      </c>
      <c r="H51" s="5">
        <f t="shared" si="27"/>
        <v>1.0141797792130998</v>
      </c>
      <c r="I51" s="5">
        <f t="shared" si="27"/>
        <v>1.0141797792130998</v>
      </c>
      <c r="J51" s="5">
        <f t="shared" si="27"/>
        <v>1.0141797792130998</v>
      </c>
      <c r="K51" s="5">
        <f t="shared" si="27"/>
        <v>1.0141797792130998</v>
      </c>
      <c r="L51" s="5">
        <f t="shared" si="27"/>
        <v>1.0141797792130998</v>
      </c>
      <c r="M51" s="3"/>
      <c r="N51">
        <f t="shared" si="30"/>
        <v>100</v>
      </c>
      <c r="O51" s="2">
        <f t="shared" si="28"/>
        <v>1</v>
      </c>
      <c r="P51" s="2">
        <f t="shared" si="28"/>
        <v>1.8723334046119477</v>
      </c>
      <c r="Q51" s="2">
        <f t="shared" si="28"/>
        <v>3.2431411653145865</v>
      </c>
      <c r="R51" s="2">
        <f t="shared" si="28"/>
        <v>1.8227418262283515</v>
      </c>
      <c r="S51" s="2">
        <f t="shared" si="28"/>
        <v>1.8188151707123699</v>
      </c>
      <c r="T51" s="2">
        <f t="shared" si="28"/>
        <v>1.8188151707123699</v>
      </c>
      <c r="U51" s="2">
        <f t="shared" si="28"/>
        <v>1.7980661158620237</v>
      </c>
      <c r="V51" s="2">
        <f t="shared" si="28"/>
        <v>5.6618159791667892</v>
      </c>
      <c r="W51" s="2">
        <f t="shared" si="28"/>
        <v>3.4436322478756174</v>
      </c>
      <c r="X51" s="2">
        <f t="shared" si="28"/>
        <v>38.989591541193121</v>
      </c>
      <c r="Y51" s="2">
        <f t="shared" si="28"/>
        <v>0</v>
      </c>
      <c r="AA51" s="20">
        <f t="shared" si="31"/>
        <v>100</v>
      </c>
      <c r="AB51" s="24">
        <f t="shared" si="29"/>
        <v>1</v>
      </c>
      <c r="AC51" s="24">
        <f t="shared" si="29"/>
        <v>8103.8564324873942</v>
      </c>
      <c r="AD51" s="24">
        <f t="shared" si="29"/>
        <v>7.1511177254458564</v>
      </c>
      <c r="AE51" s="24">
        <f t="shared" si="29"/>
        <v>6.7431497958403206</v>
      </c>
      <c r="AF51" s="24">
        <f t="shared" si="29"/>
        <v>7.1511177254458564</v>
      </c>
      <c r="AG51" s="24">
        <f t="shared" si="29"/>
        <v>0.91426817394838933</v>
      </c>
      <c r="AH51" s="24">
        <f t="shared" si="29"/>
        <v>5.4603025607248732</v>
      </c>
      <c r="AI51" s="24">
        <f t="shared" si="29"/>
        <v>1.1635971879912092E+59</v>
      </c>
      <c r="AJ51" s="24">
        <f t="shared" si="29"/>
        <v>4.43248449284405E+42</v>
      </c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</row>
    <row r="52" spans="1:50" x14ac:dyDescent="0.25">
      <c r="A52">
        <v>120</v>
      </c>
      <c r="C52" s="5">
        <f t="shared" si="27"/>
        <v>1.9866539973930231</v>
      </c>
      <c r="D52" s="5">
        <f t="shared" si="27"/>
        <v>1.9866539973930231</v>
      </c>
      <c r="E52" s="5">
        <f t="shared" si="27"/>
        <v>1.9866539973930231</v>
      </c>
      <c r="F52" s="5">
        <f t="shared" si="27"/>
        <v>1.9866539973930231</v>
      </c>
      <c r="G52" s="5">
        <f t="shared" si="27"/>
        <v>1.9866539973930231</v>
      </c>
      <c r="H52" s="5">
        <f t="shared" si="27"/>
        <v>1.9866539973930231</v>
      </c>
      <c r="I52" s="5">
        <f t="shared" si="27"/>
        <v>1.9866539973930231</v>
      </c>
      <c r="J52" s="5">
        <f t="shared" si="27"/>
        <v>1.9866539973930231</v>
      </c>
      <c r="K52" s="5">
        <f t="shared" si="27"/>
        <v>1.9866539973930231</v>
      </c>
      <c r="L52" s="5">
        <f t="shared" si="27"/>
        <v>1.9866539973930231</v>
      </c>
      <c r="M52" s="3"/>
      <c r="N52">
        <f t="shared" ref="N52" si="33">A52</f>
        <v>120</v>
      </c>
      <c r="O52" s="2">
        <f t="shared" si="28"/>
        <v>1</v>
      </c>
      <c r="P52" s="2">
        <f t="shared" si="28"/>
        <v>3.1936122521491659</v>
      </c>
      <c r="Q52" s="2">
        <f t="shared" si="28"/>
        <v>4.7954528762991542</v>
      </c>
      <c r="R52" s="2">
        <f t="shared" si="28"/>
        <v>3.0119110971947523</v>
      </c>
      <c r="S52" s="2">
        <f t="shared" si="28"/>
        <v>2.9869206326881645</v>
      </c>
      <c r="T52" s="2">
        <f t="shared" si="28"/>
        <v>2.9869206326881645</v>
      </c>
      <c r="U52" s="2">
        <f t="shared" si="28"/>
        <v>3.2299611929336129</v>
      </c>
      <c r="V52" s="2">
        <f t="shared" si="28"/>
        <v>17.258028090350081</v>
      </c>
      <c r="W52" s="2">
        <f t="shared" si="28"/>
        <v>7.8648428818303646</v>
      </c>
      <c r="X52" s="2">
        <f t="shared" si="28"/>
        <v>39.508615566503408</v>
      </c>
      <c r="Y52" s="2">
        <f t="shared" si="28"/>
        <v>0</v>
      </c>
      <c r="AA52" s="20">
        <f t="shared" si="31"/>
        <v>120</v>
      </c>
      <c r="AB52" s="24">
        <f t="shared" si="29"/>
        <v>1</v>
      </c>
      <c r="AC52" s="24">
        <f t="shared" si="29"/>
        <v>6557.8844116928421</v>
      </c>
      <c r="AD52" s="24">
        <f t="shared" si="29"/>
        <v>10.907220097974069</v>
      </c>
      <c r="AE52" s="24">
        <f t="shared" si="29"/>
        <v>10.373352225740343</v>
      </c>
      <c r="AF52" s="24">
        <f t="shared" si="29"/>
        <v>10.907220097974069</v>
      </c>
      <c r="AG52" s="24">
        <f t="shared" si="29"/>
        <v>1.8582570043357112</v>
      </c>
      <c r="AH52" s="24">
        <f t="shared" si="29"/>
        <v>9.4643644370693458</v>
      </c>
      <c r="AI52" s="24">
        <f t="shared" si="29"/>
        <v>6.3288815905107413E+87</v>
      </c>
      <c r="AJ52" s="24">
        <f t="shared" si="29"/>
        <v>6.5796314124384187E+61</v>
      </c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</row>
    <row r="53" spans="1:50" x14ac:dyDescent="0.25">
      <c r="A53" s="20">
        <f>A17</f>
        <v>126.85000000000002</v>
      </c>
      <c r="C53" s="5">
        <f t="shared" si="27"/>
        <v>2.4575318630408312</v>
      </c>
      <c r="D53" s="5">
        <f t="shared" si="27"/>
        <v>2.4575318630408312</v>
      </c>
      <c r="E53" s="5">
        <f t="shared" si="27"/>
        <v>2.4575318630408312</v>
      </c>
      <c r="F53" s="5">
        <f t="shared" si="27"/>
        <v>2.4575318630408312</v>
      </c>
      <c r="G53" s="5">
        <f t="shared" si="27"/>
        <v>2.4575318630408312</v>
      </c>
      <c r="H53" s="5">
        <f t="shared" si="27"/>
        <v>2.4575318630408312</v>
      </c>
      <c r="I53" s="5">
        <f t="shared" si="27"/>
        <v>2.4575318630408312</v>
      </c>
      <c r="J53" s="5">
        <f t="shared" si="27"/>
        <v>2.4575318630408312</v>
      </c>
      <c r="K53" s="5">
        <f t="shared" si="27"/>
        <v>2.4575318630408312</v>
      </c>
      <c r="L53" s="5">
        <f t="shared" si="27"/>
        <v>2.4575318630408312</v>
      </c>
      <c r="N53">
        <f t="shared" si="30"/>
        <v>126.85000000000002</v>
      </c>
      <c r="O53" s="2">
        <f t="shared" si="28"/>
        <v>1</v>
      </c>
      <c r="P53" s="2">
        <f t="shared" si="28"/>
        <v>3.7793698718967987</v>
      </c>
      <c r="Q53" s="2">
        <f t="shared" si="28"/>
        <v>5.4131476615393197</v>
      </c>
      <c r="R53" s="2">
        <f t="shared" si="28"/>
        <v>3.5215885968067395</v>
      </c>
      <c r="S53" s="2">
        <f t="shared" si="28"/>
        <v>3.4865970959942101</v>
      </c>
      <c r="T53" s="2">
        <f t="shared" si="28"/>
        <v>3.4865970959942101</v>
      </c>
      <c r="U53" s="2">
        <f t="shared" si="28"/>
        <v>3.850511297946702</v>
      </c>
      <c r="V53" s="2">
        <f t="shared" si="28"/>
        <v>27.978352608883903</v>
      </c>
      <c r="W53" s="2">
        <f t="shared" si="28"/>
        <v>11.357090401094636</v>
      </c>
      <c r="X53" s="2">
        <f t="shared" si="28"/>
        <v>39.674448770635301</v>
      </c>
      <c r="Y53" s="2">
        <f t="shared" si="28"/>
        <v>0</v>
      </c>
      <c r="AA53" s="20">
        <f t="shared" si="31"/>
        <v>126.85000000000002</v>
      </c>
      <c r="AB53" s="24">
        <f t="shared" si="29"/>
        <v>1</v>
      </c>
      <c r="AC53" s="24">
        <f t="shared" si="29"/>
        <v>6123.8218978580026</v>
      </c>
      <c r="AD53" s="24">
        <f t="shared" si="29"/>
        <v>12.43607735562572</v>
      </c>
      <c r="AE53" s="24">
        <f t="shared" si="29"/>
        <v>11.857413046655171</v>
      </c>
      <c r="AF53" s="24">
        <f t="shared" si="29"/>
        <v>12.43607735562572</v>
      </c>
      <c r="AG53" s="24">
        <f t="shared" si="29"/>
        <v>2.3236221129311492</v>
      </c>
      <c r="AH53" s="24">
        <f t="shared" si="29"/>
        <v>11.169418610987755</v>
      </c>
      <c r="AI53" s="24">
        <f t="shared" si="29"/>
        <v>3.428205146871511E+99</v>
      </c>
      <c r="AJ53" s="24">
        <f t="shared" si="29"/>
        <v>4.8023927120981339E+69</v>
      </c>
    </row>
    <row r="54" spans="1:50" x14ac:dyDescent="0.25">
      <c r="A54" s="20">
        <v>370</v>
      </c>
      <c r="C54" s="5">
        <f t="shared" si="27"/>
        <v>210.43367318975348</v>
      </c>
      <c r="D54" s="5">
        <f t="shared" si="27"/>
        <v>210.43367318975348</v>
      </c>
      <c r="E54" s="5">
        <f t="shared" si="27"/>
        <v>210.43367318975348</v>
      </c>
      <c r="F54" s="5">
        <f t="shared" si="27"/>
        <v>210.43367318975348</v>
      </c>
      <c r="G54" s="5">
        <f t="shared" si="27"/>
        <v>210.43367318975348</v>
      </c>
      <c r="H54" s="5">
        <f t="shared" si="27"/>
        <v>210.43367318975348</v>
      </c>
      <c r="I54" s="5">
        <f t="shared" si="27"/>
        <v>210.43367318975348</v>
      </c>
      <c r="J54" s="5">
        <f t="shared" si="27"/>
        <v>210.43367318975348</v>
      </c>
      <c r="K54" s="5">
        <f t="shared" si="27"/>
        <v>210.43367318975348</v>
      </c>
      <c r="L54" s="5">
        <f t="shared" si="27"/>
        <v>210.43367318975348</v>
      </c>
      <c r="N54">
        <f t="shared" ref="N54" si="34">A54</f>
        <v>370</v>
      </c>
      <c r="O54" s="2">
        <f t="shared" si="28"/>
        <v>1</v>
      </c>
      <c r="P54" s="2">
        <f t="shared" si="28"/>
        <v>176.04567764408992</v>
      </c>
      <c r="Q54" s="2">
        <f t="shared" si="28"/>
        <v>0.99526244440997835</v>
      </c>
      <c r="R54" s="2">
        <f t="shared" si="28"/>
        <v>0.99588378072511186</v>
      </c>
      <c r="S54" s="2">
        <f t="shared" si="28"/>
        <v>0.9951427244727955</v>
      </c>
      <c r="T54" s="2">
        <f t="shared" si="28"/>
        <v>0.9951427244727955</v>
      </c>
      <c r="U54" s="2">
        <f t="shared" si="28"/>
        <v>0.99369400530100904</v>
      </c>
      <c r="V54" s="2">
        <f>K($A$3,$N54,Press,V$44)</f>
        <v>7.6194647575839428E+21</v>
      </c>
      <c r="W54" s="2">
        <f t="shared" si="28"/>
        <v>2.9536445466387476E+32</v>
      </c>
      <c r="X54" s="2">
        <f t="shared" si="28"/>
        <v>43.272780517225129</v>
      </c>
      <c r="Y54" s="2">
        <f t="shared" si="28"/>
        <v>0</v>
      </c>
      <c r="AA54" s="20">
        <f t="shared" si="31"/>
        <v>370</v>
      </c>
      <c r="AB54" s="24">
        <f t="shared" si="29"/>
        <v>1</v>
      </c>
      <c r="AC54" s="24">
        <f t="shared" si="29"/>
        <v>597.63202446761386</v>
      </c>
      <c r="AD54" s="24">
        <f t="shared" si="29"/>
        <v>0.99941902744051481</v>
      </c>
      <c r="AE54" s="24">
        <f t="shared" si="29"/>
        <v>0.99945287775095704</v>
      </c>
      <c r="AF54" s="24">
        <f t="shared" si="29"/>
        <v>0.99941902744051481</v>
      </c>
      <c r="AG54" s="24">
        <f t="shared" si="29"/>
        <v>210.81069662787701</v>
      </c>
      <c r="AH54" s="24">
        <f t="shared" si="29"/>
        <v>1.0001048236401004</v>
      </c>
      <c r="AI54" s="24" t="e">
        <f t="shared" si="29"/>
        <v>#NUM!</v>
      </c>
      <c r="AJ54" s="24" t="e">
        <f t="shared" si="29"/>
        <v>#NUM!</v>
      </c>
    </row>
    <row r="56" spans="1:50" x14ac:dyDescent="0.25">
      <c r="AA56" s="7">
        <v>1</v>
      </c>
      <c r="AB56" s="3" t="s">
        <v>33</v>
      </c>
      <c r="AC56" s="3" t="s">
        <v>28</v>
      </c>
      <c r="AD56" s="3" t="s">
        <v>30</v>
      </c>
      <c r="AE56" s="3" t="s">
        <v>29</v>
      </c>
      <c r="AF56" s="3" t="s">
        <v>31</v>
      </c>
      <c r="AG56" s="3" t="s">
        <v>34</v>
      </c>
      <c r="AH56" s="3" t="s">
        <v>20</v>
      </c>
      <c r="AI56" s="3" t="s">
        <v>21</v>
      </c>
      <c r="AJ56" s="3" t="s">
        <v>22</v>
      </c>
    </row>
    <row r="57" spans="1:50" x14ac:dyDescent="0.25">
      <c r="AA57" s="22"/>
      <c r="AB57" s="3">
        <v>0</v>
      </c>
      <c r="AC57" s="3">
        <v>2</v>
      </c>
      <c r="AD57" s="3">
        <v>4</v>
      </c>
      <c r="AE57" s="3">
        <v>3</v>
      </c>
      <c r="AF57" s="3">
        <v>5</v>
      </c>
      <c r="AG57" s="3">
        <v>1</v>
      </c>
      <c r="AH57" s="3">
        <v>6</v>
      </c>
      <c r="AI57" s="3">
        <v>7</v>
      </c>
      <c r="AJ57" s="3">
        <v>8</v>
      </c>
    </row>
    <row r="58" spans="1:50" x14ac:dyDescent="0.25">
      <c r="AA58" s="20">
        <f t="shared" ref="AA58:AA66" si="35">AA45</f>
        <v>-20</v>
      </c>
      <c r="AB58" s="24">
        <f t="shared" ref="AB58:AJ67" si="36">KMix($A$2:$A$3,$B$2:$B$3,$B$2:$B$3,$AA58,$E$1,AB$44,$AA$56)</f>
        <v>1</v>
      </c>
      <c r="AC58" s="24">
        <f t="shared" si="36"/>
        <v>2.1676161100220198E-4</v>
      </c>
      <c r="AD58" s="24">
        <f t="shared" si="36"/>
        <v>1.0192486071965086E-2</v>
      </c>
      <c r="AE58" s="24">
        <f t="shared" si="36"/>
        <v>9.1206900265030488E-3</v>
      </c>
      <c r="AF58" s="24">
        <f t="shared" si="36"/>
        <v>1.0192486071965086E-2</v>
      </c>
      <c r="AG58" s="24">
        <f t="shared" si="36"/>
        <v>8.1311646104392024E-3</v>
      </c>
      <c r="AH58" s="24">
        <f t="shared" si="36"/>
        <v>1.0732393717299146E-3</v>
      </c>
      <c r="AI58" s="24">
        <f t="shared" si="36"/>
        <v>1.0131355599084049</v>
      </c>
      <c r="AJ58" s="24">
        <f t="shared" si="36"/>
        <v>1.0120003860526141</v>
      </c>
    </row>
    <row r="59" spans="1:50" x14ac:dyDescent="0.25">
      <c r="AA59" s="20">
        <f t="shared" si="35"/>
        <v>0</v>
      </c>
      <c r="AB59" s="24">
        <f t="shared" si="36"/>
        <v>1</v>
      </c>
      <c r="AC59" s="24">
        <f t="shared" si="36"/>
        <v>1.1856839426475862E-3</v>
      </c>
      <c r="AD59" s="24">
        <f t="shared" si="36"/>
        <v>3.5441212129343487E-2</v>
      </c>
      <c r="AE59" s="24">
        <f t="shared" si="36"/>
        <v>3.278084081503594E-2</v>
      </c>
      <c r="AF59" s="24">
        <f t="shared" si="36"/>
        <v>3.5441212129343487E-2</v>
      </c>
      <c r="AG59" s="24">
        <f t="shared" si="36"/>
        <v>2.9898727239875141E-2</v>
      </c>
      <c r="AH59" s="24">
        <f t="shared" si="36"/>
        <v>7.4751903582763847E-3</v>
      </c>
      <c r="AI59" s="24">
        <f t="shared" si="36"/>
        <v>1.0413327357009083</v>
      </c>
      <c r="AJ59" s="24">
        <f t="shared" si="36"/>
        <v>1.0339074709776794</v>
      </c>
    </row>
    <row r="60" spans="1:50" x14ac:dyDescent="0.25">
      <c r="AA60" s="20">
        <f t="shared" si="35"/>
        <v>20</v>
      </c>
      <c r="AB60" s="24">
        <f t="shared" si="36"/>
        <v>1</v>
      </c>
      <c r="AC60" s="24">
        <f t="shared" si="36"/>
        <v>4.8580081753781023E-3</v>
      </c>
      <c r="AD60" s="24">
        <f t="shared" si="36"/>
        <v>0.10129524141328337</v>
      </c>
      <c r="AE60" s="24">
        <f t="shared" si="36"/>
        <v>9.6111809019275948E-2</v>
      </c>
      <c r="AF60" s="24">
        <f t="shared" si="36"/>
        <v>0.10129524141328337</v>
      </c>
      <c r="AG60" s="24">
        <f t="shared" si="36"/>
        <v>8.9603434088344133E-2</v>
      </c>
      <c r="AH60" s="24">
        <f t="shared" si="36"/>
        <v>3.6046852486173633E-2</v>
      </c>
      <c r="AI60" s="24">
        <f t="shared" si="36"/>
        <v>1.1127477652323949</v>
      </c>
      <c r="AJ60" s="24">
        <f t="shared" si="36"/>
        <v>1.0853971580882285</v>
      </c>
    </row>
    <row r="61" spans="1:50" x14ac:dyDescent="0.25">
      <c r="AA61" s="20">
        <f t="shared" si="35"/>
        <v>40</v>
      </c>
      <c r="AB61" s="24">
        <f t="shared" si="36"/>
        <v>1</v>
      </c>
      <c r="AC61" s="24">
        <f t="shared" si="36"/>
        <v>1.5882727512286487E-2</v>
      </c>
      <c r="AD61" s="24">
        <f t="shared" si="36"/>
        <v>0.24738825509126544</v>
      </c>
      <c r="AE61" s="24">
        <f t="shared" si="36"/>
        <v>0.23938749850083726</v>
      </c>
      <c r="AF61" s="24">
        <f t="shared" si="36"/>
        <v>0.24738825509126544</v>
      </c>
      <c r="AG61" s="24">
        <f t="shared" si="36"/>
        <v>0.22811861680430573</v>
      </c>
      <c r="AH61" s="24">
        <f t="shared" si="36"/>
        <v>0.13004621563143867</v>
      </c>
      <c r="AI61" s="24">
        <f t="shared" si="36"/>
        <v>1.2802586178183224</v>
      </c>
      <c r="AJ61" s="24">
        <f t="shared" si="36"/>
        <v>1.1986797525700865</v>
      </c>
    </row>
    <row r="62" spans="1:50" x14ac:dyDescent="0.25">
      <c r="AA62" s="20">
        <f t="shared" si="35"/>
        <v>60</v>
      </c>
      <c r="AB62" s="24">
        <f t="shared" si="36"/>
        <v>1</v>
      </c>
      <c r="AC62" s="24">
        <f t="shared" si="36"/>
        <v>4.3408355324637153E-2</v>
      </c>
      <c r="AD62" s="24">
        <f t="shared" si="36"/>
        <v>0.53157995962169458</v>
      </c>
      <c r="AE62" s="24">
        <f t="shared" si="36"/>
        <v>0.52219774309651423</v>
      </c>
      <c r="AF62" s="24">
        <f t="shared" si="36"/>
        <v>0.53157995962169458</v>
      </c>
      <c r="AG62" s="24">
        <f t="shared" si="36"/>
        <v>0.50909190937812709</v>
      </c>
      <c r="AH62" s="24">
        <f t="shared" si="36"/>
        <v>0.37208741175951371</v>
      </c>
      <c r="AI62" s="24">
        <f t="shared" si="36"/>
        <v>1.6699418506191488</v>
      </c>
      <c r="AJ62" s="24">
        <f t="shared" si="36"/>
        <v>1.4435035486714716</v>
      </c>
    </row>
    <row r="63" spans="1:50" x14ac:dyDescent="0.25">
      <c r="AA63" s="20">
        <f t="shared" si="35"/>
        <v>80</v>
      </c>
      <c r="AB63" s="24">
        <f t="shared" si="36"/>
        <v>1</v>
      </c>
      <c r="AC63" s="24">
        <f t="shared" si="36"/>
        <v>0.10269494093372968</v>
      </c>
      <c r="AD63" s="24">
        <f t="shared" si="36"/>
        <v>1.0276955871768145</v>
      </c>
      <c r="AE63" s="24">
        <f t="shared" si="36"/>
        <v>1.0211687293395357</v>
      </c>
      <c r="AF63" s="24">
        <f t="shared" si="36"/>
        <v>1.0276955871768145</v>
      </c>
      <c r="AG63" s="24">
        <f t="shared" si="36"/>
        <v>1.0204010800151451</v>
      </c>
      <c r="AH63" s="24">
        <f t="shared" si="36"/>
        <v>0.88282990692003138</v>
      </c>
      <c r="AI63" s="24">
        <f t="shared" si="36"/>
        <v>2.6444987277228731</v>
      </c>
      <c r="AJ63" s="24">
        <f t="shared" si="36"/>
        <v>1.9944957927200251</v>
      </c>
    </row>
    <row r="64" spans="1:50" x14ac:dyDescent="0.25">
      <c r="AA64" s="20">
        <f t="shared" si="35"/>
        <v>100</v>
      </c>
      <c r="AB64" s="24">
        <f t="shared" si="36"/>
        <v>1</v>
      </c>
      <c r="AC64" s="24">
        <f t="shared" si="36"/>
        <v>0.21597389167870812</v>
      </c>
      <c r="AD64" s="24">
        <f t="shared" si="36"/>
        <v>1.8188151707123699</v>
      </c>
      <c r="AE64" s="24">
        <f t="shared" si="36"/>
        <v>1.8227418262283515</v>
      </c>
      <c r="AF64" s="24">
        <f t="shared" si="36"/>
        <v>1.8188151707123699</v>
      </c>
      <c r="AG64" s="24">
        <f t="shared" si="36"/>
        <v>1.8723334046119477</v>
      </c>
      <c r="AH64" s="24">
        <f t="shared" si="36"/>
        <v>1.7980661158620237</v>
      </c>
      <c r="AI64" s="24">
        <f t="shared" si="36"/>
        <v>5.522058525359224</v>
      </c>
      <c r="AJ64" s="24">
        <f t="shared" si="36"/>
        <v>3.3827899874870613</v>
      </c>
    </row>
    <row r="65" spans="27:36" x14ac:dyDescent="0.25">
      <c r="AA65" s="20">
        <f t="shared" si="35"/>
        <v>120</v>
      </c>
      <c r="AB65" s="24">
        <f t="shared" si="36"/>
        <v>1</v>
      </c>
      <c r="AC65" s="24">
        <f t="shared" si="36"/>
        <v>0.412163507026169</v>
      </c>
      <c r="AD65" s="24">
        <f t="shared" si="36"/>
        <v>2.9869206326881645</v>
      </c>
      <c r="AE65" s="24">
        <f t="shared" si="36"/>
        <v>3.0119110971947523</v>
      </c>
      <c r="AF65" s="24">
        <f t="shared" si="36"/>
        <v>2.9869206326881645</v>
      </c>
      <c r="AG65" s="24">
        <f t="shared" si="36"/>
        <v>3.1936122521491659</v>
      </c>
      <c r="AH65" s="24">
        <f t="shared" si="36"/>
        <v>3.2299611929336129</v>
      </c>
      <c r="AI65" s="24">
        <f t="shared" si="36"/>
        <v>16.650250883423681</v>
      </c>
      <c r="AJ65" s="24">
        <f t="shared" si="36"/>
        <v>7.663298170904028</v>
      </c>
    </row>
    <row r="66" spans="27:36" x14ac:dyDescent="0.25">
      <c r="AA66" s="20">
        <f t="shared" si="35"/>
        <v>126.85000000000002</v>
      </c>
      <c r="AB66" s="24">
        <f t="shared" si="36"/>
        <v>1</v>
      </c>
      <c r="AC66" s="24">
        <f t="shared" si="36"/>
        <v>0.50443545845416837</v>
      </c>
      <c r="AD66" s="24">
        <f t="shared" si="36"/>
        <v>3.4865970959942101</v>
      </c>
      <c r="AE66" s="24">
        <f t="shared" si="36"/>
        <v>3.5215885968067395</v>
      </c>
      <c r="AF66" s="24">
        <f t="shared" si="36"/>
        <v>3.4865970959942101</v>
      </c>
      <c r="AG66" s="24">
        <f t="shared" si="36"/>
        <v>3.7793698718967987</v>
      </c>
      <c r="AH66" s="24">
        <f t="shared" si="36"/>
        <v>3.850511297946702</v>
      </c>
      <c r="AI66" s="24">
        <f t="shared" si="36"/>
        <v>26.878621091326178</v>
      </c>
      <c r="AJ66" s="24">
        <f t="shared" si="36"/>
        <v>11.029733286634439</v>
      </c>
    </row>
    <row r="67" spans="27:36" x14ac:dyDescent="0.25">
      <c r="AA67" s="20">
        <v>370</v>
      </c>
      <c r="AB67" s="24">
        <f t="shared" si="36"/>
        <v>1</v>
      </c>
      <c r="AC67" s="24">
        <f t="shared" si="36"/>
        <v>20.28158122566613</v>
      </c>
      <c r="AD67" s="24">
        <f t="shared" si="36"/>
        <v>0.9951427244727955</v>
      </c>
      <c r="AE67" s="24">
        <f t="shared" si="36"/>
        <v>0.99588378072511186</v>
      </c>
      <c r="AF67" s="24">
        <f t="shared" si="36"/>
        <v>0.9951427244727955</v>
      </c>
      <c r="AG67" s="24">
        <f t="shared" si="36"/>
        <v>176.04567764408992</v>
      </c>
      <c r="AH67" s="24">
        <f t="shared" si="36"/>
        <v>0.99369400530100904</v>
      </c>
      <c r="AI67" s="24">
        <f t="shared" si="36"/>
        <v>6.358892038040558E+21</v>
      </c>
      <c r="AJ67" s="24">
        <f t="shared" si="36"/>
        <v>2.2584426979749101E+32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C19"/>
  <sheetViews>
    <sheetView zoomScale="60" zoomScaleNormal="60" workbookViewId="0">
      <selection activeCell="H16" sqref="H16"/>
    </sheetView>
  </sheetViews>
  <sheetFormatPr defaultRowHeight="15" x14ac:dyDescent="0.25"/>
  <cols>
    <col min="1" max="1" width="13.5703125" customWidth="1"/>
    <col min="3" max="3" width="10.42578125" customWidth="1"/>
    <col min="4" max="8" width="12.140625" customWidth="1"/>
    <col min="9" max="9" width="12.7109375" style="1" customWidth="1"/>
    <col min="10" max="11" width="14.85546875" customWidth="1"/>
    <col min="12" max="12" width="11" customWidth="1"/>
    <col min="13" max="15" width="11" style="1" customWidth="1"/>
    <col min="16" max="16" width="12.5703125" style="1" customWidth="1"/>
    <col min="17" max="17" width="12.140625" style="1" customWidth="1"/>
    <col min="18" max="18" width="9.28515625" customWidth="1"/>
    <col min="19" max="19" width="7.7109375" customWidth="1"/>
    <col min="20" max="20" width="12.28515625" customWidth="1"/>
    <col min="21" max="22" width="9.7109375" customWidth="1"/>
    <col min="23" max="23" width="9.28515625" customWidth="1"/>
    <col min="25" max="28" width="8.28515625" customWidth="1"/>
    <col min="29" max="29" width="10.28515625" customWidth="1"/>
  </cols>
  <sheetData>
    <row r="1" spans="1:29" x14ac:dyDescent="0.25">
      <c r="A1" t="s">
        <v>0</v>
      </c>
      <c r="I1"/>
    </row>
    <row r="2" spans="1:29" x14ac:dyDescent="0.25">
      <c r="A2" t="s">
        <v>16</v>
      </c>
      <c r="B2">
        <v>1</v>
      </c>
      <c r="I2" s="40" t="s">
        <v>228</v>
      </c>
      <c r="J2">
        <v>24</v>
      </c>
      <c r="M2" s="5"/>
    </row>
    <row r="3" spans="1:29" x14ac:dyDescent="0.25">
      <c r="J3">
        <v>425</v>
      </c>
      <c r="L3" s="1"/>
    </row>
    <row r="4" spans="1:29" x14ac:dyDescent="0.25">
      <c r="I4" s="1" t="s">
        <v>231</v>
      </c>
      <c r="J4">
        <f>(273.15+J2)/J3</f>
        <v>0.69917647058823529</v>
      </c>
      <c r="M4"/>
      <c r="N4"/>
      <c r="O4"/>
      <c r="P4"/>
    </row>
    <row r="5" spans="1:29" x14ac:dyDescent="0.25">
      <c r="C5" s="3"/>
      <c r="D5" s="3"/>
      <c r="E5" s="3"/>
      <c r="F5" s="3"/>
      <c r="G5" s="3"/>
      <c r="H5" s="3"/>
      <c r="J5" s="3"/>
      <c r="K5" s="3"/>
      <c r="L5" s="3"/>
      <c r="M5" s="3"/>
      <c r="T5" s="1"/>
      <c r="X5" s="3"/>
      <c r="AC5" s="1"/>
    </row>
    <row r="6" spans="1:29" ht="37.9" customHeight="1" x14ac:dyDescent="0.25">
      <c r="J6" s="7" t="s">
        <v>229</v>
      </c>
      <c r="K6" s="42" t="s">
        <v>17</v>
      </c>
      <c r="M6"/>
      <c r="N6"/>
      <c r="O6" s="7" t="s">
        <v>229</v>
      </c>
      <c r="P6" t="s">
        <v>245</v>
      </c>
      <c r="Q6"/>
      <c r="X6" s="3"/>
    </row>
    <row r="7" spans="1:29" x14ac:dyDescent="0.25">
      <c r="J7" s="3" t="s">
        <v>14</v>
      </c>
      <c r="K7" s="3" t="s">
        <v>14</v>
      </c>
      <c r="M7"/>
      <c r="N7"/>
      <c r="O7" s="3" t="s">
        <v>14</v>
      </c>
      <c r="P7"/>
      <c r="Q7"/>
    </row>
    <row r="8" spans="1:29" x14ac:dyDescent="0.25">
      <c r="A8" t="s">
        <v>232</v>
      </c>
      <c r="B8" t="s">
        <v>10</v>
      </c>
      <c r="C8" t="s">
        <v>241</v>
      </c>
      <c r="D8" t="s">
        <v>242</v>
      </c>
      <c r="E8" t="s">
        <v>276</v>
      </c>
      <c r="I8" s="1">
        <v>0</v>
      </c>
      <c r="J8" s="3">
        <v>1</v>
      </c>
      <c r="K8" s="3">
        <v>1</v>
      </c>
      <c r="M8"/>
      <c r="N8"/>
      <c r="O8" s="3">
        <v>4</v>
      </c>
      <c r="P8"/>
      <c r="Q8"/>
    </row>
    <row r="9" spans="1:29" x14ac:dyDescent="0.25">
      <c r="A9">
        <f>B9/37.9</f>
        <v>2.6385224274406333E-2</v>
      </c>
      <c r="B9">
        <v>1</v>
      </c>
      <c r="C9">
        <f>LK_Z0($J$4,A9,0.201,1)</f>
        <v>0</v>
      </c>
      <c r="D9">
        <f>LK_Z1($J$4,A9,0.201,1)</f>
        <v>0</v>
      </c>
      <c r="I9" s="41">
        <f>vapEnthalpy($A$2,$J$2,A9,$I$8)</f>
        <v>-90307.926832784287</v>
      </c>
      <c r="J9" s="41">
        <f t="shared" ref="J9:J19" si="0">liqEnthalpy($A$2,$J$2,B9,J$8)</f>
        <v>-144319.28848734088</v>
      </c>
      <c r="K9" s="41">
        <f t="shared" ref="K9:K19" si="1">vapEnthalpy($A$2,$J$2,B9,$K$8)</f>
        <v>-89411.061223559402</v>
      </c>
      <c r="M9"/>
      <c r="N9"/>
      <c r="O9" s="41">
        <f t="shared" ref="O9:O19" si="2">liqEnthalpy($A$2,$J$2,$B9,O$8)</f>
        <v>-147970.827197131</v>
      </c>
      <c r="P9" s="41">
        <f>vapEnthalpy($A$2,$J$2,$B9,O$8)</f>
        <v>-90373.582852821826</v>
      </c>
      <c r="Q9"/>
    </row>
    <row r="10" spans="1:29" x14ac:dyDescent="0.25">
      <c r="A10">
        <f t="shared" ref="A10:A19" si="3">B10/37.9</f>
        <v>5.2770448548812667E-2</v>
      </c>
      <c r="B10">
        <f>B9+1</f>
        <v>2</v>
      </c>
      <c r="C10">
        <f t="shared" ref="C10:C19" si="4">LK_Z0($J$4,A10,0.201,1)</f>
        <v>0</v>
      </c>
      <c r="D10">
        <f t="shared" ref="D10:D19" si="5">LK_Z1($J$4,A10,0.201,1)</f>
        <v>0</v>
      </c>
      <c r="I10" s="41">
        <f t="shared" ref="I10:I19" si="6">vapEnthalpy($A$2,$J$2,A10,$I$8)</f>
        <v>-90307.926832784287</v>
      </c>
      <c r="J10" s="41">
        <f t="shared" si="0"/>
        <v>-144310.83245755103</v>
      </c>
      <c r="K10" s="41">
        <f t="shared" si="1"/>
        <v>-89467.339091884307</v>
      </c>
      <c r="M10"/>
      <c r="N10"/>
      <c r="O10" s="41">
        <f t="shared" si="2"/>
        <v>-147967.71984764538</v>
      </c>
      <c r="P10" s="41">
        <f t="shared" ref="P10:P19" si="7">vapEnthalpy($A$2,$J$2,$B10,O$8)</f>
        <v>-90439.416773883422</v>
      </c>
      <c r="Q10"/>
    </row>
    <row r="11" spans="1:29" x14ac:dyDescent="0.25">
      <c r="A11">
        <f t="shared" si="3"/>
        <v>7.9155672823219003E-2</v>
      </c>
      <c r="B11">
        <f t="shared" ref="B11:B19" si="8">B10+1</f>
        <v>3</v>
      </c>
      <c r="C11">
        <f t="shared" si="4"/>
        <v>0</v>
      </c>
      <c r="D11">
        <f t="shared" si="5"/>
        <v>0</v>
      </c>
      <c r="I11" s="41">
        <f t="shared" si="6"/>
        <v>-90307.926832784287</v>
      </c>
      <c r="J11" s="41">
        <f t="shared" si="0"/>
        <v>-144302.35935997506</v>
      </c>
      <c r="K11" s="41">
        <f t="shared" si="1"/>
        <v>-89524.05268064313</v>
      </c>
      <c r="M11"/>
      <c r="N11"/>
      <c r="O11" s="41">
        <f t="shared" si="2"/>
        <v>-147964.59164900519</v>
      </c>
      <c r="P11" s="41">
        <f t="shared" si="7"/>
        <v>-90505.427997167688</v>
      </c>
      <c r="Q11"/>
    </row>
    <row r="12" spans="1:29" x14ac:dyDescent="0.25">
      <c r="A12">
        <f t="shared" si="3"/>
        <v>0.10554089709762533</v>
      </c>
      <c r="B12">
        <f t="shared" si="8"/>
        <v>4</v>
      </c>
      <c r="C12">
        <f t="shared" si="4"/>
        <v>0</v>
      </c>
      <c r="D12">
        <f t="shared" si="5"/>
        <v>0</v>
      </c>
      <c r="I12" s="41">
        <f t="shared" si="6"/>
        <v>-90307.926832784287</v>
      </c>
      <c r="J12" s="41">
        <f t="shared" si="0"/>
        <v>-144293.88362324584</v>
      </c>
      <c r="K12" s="41">
        <f t="shared" si="1"/>
        <v>-89580.813666759394</v>
      </c>
      <c r="M12"/>
      <c r="N12"/>
      <c r="O12" s="41">
        <f t="shared" si="2"/>
        <v>-147961.44279853714</v>
      </c>
      <c r="P12" s="41">
        <f t="shared" si="7"/>
        <v>-90571.615837455218</v>
      </c>
      <c r="Q12"/>
    </row>
    <row r="13" spans="1:29" x14ac:dyDescent="0.25">
      <c r="A13">
        <f t="shared" si="3"/>
        <v>0.13192612137203166</v>
      </c>
      <c r="B13">
        <f t="shared" si="8"/>
        <v>5</v>
      </c>
      <c r="C13">
        <f t="shared" si="4"/>
        <v>0</v>
      </c>
      <c r="D13">
        <f t="shared" si="5"/>
        <v>0</v>
      </c>
      <c r="I13" s="41">
        <f t="shared" si="6"/>
        <v>-90307.926832784287</v>
      </c>
      <c r="J13" s="41">
        <f t="shared" si="0"/>
        <v>-144285.39963704365</v>
      </c>
      <c r="K13" s="41">
        <f t="shared" si="1"/>
        <v>-89638.025125323329</v>
      </c>
      <c r="M13"/>
      <c r="N13"/>
      <c r="O13" s="41">
        <f t="shared" si="2"/>
        <v>-147958.27349072587</v>
      </c>
      <c r="P13" s="41">
        <f t="shared" si="7"/>
        <v>-90637.979519336048</v>
      </c>
      <c r="Q13"/>
    </row>
    <row r="14" spans="1:29" x14ac:dyDescent="0.25">
      <c r="A14">
        <f t="shared" si="3"/>
        <v>0.15831134564643801</v>
      </c>
      <c r="B14">
        <f t="shared" si="8"/>
        <v>6</v>
      </c>
      <c r="C14">
        <f t="shared" si="4"/>
        <v>0</v>
      </c>
      <c r="D14">
        <f t="shared" si="5"/>
        <v>0</v>
      </c>
      <c r="I14" s="41">
        <f t="shared" si="6"/>
        <v>-90307.926832784287</v>
      </c>
      <c r="J14" s="41">
        <f t="shared" si="0"/>
        <v>-144276.9145582428</v>
      </c>
      <c r="K14" s="41">
        <f t="shared" si="1"/>
        <v>-89695.438138045574</v>
      </c>
      <c r="M14"/>
      <c r="N14"/>
      <c r="O14" s="41">
        <f t="shared" si="2"/>
        <v>-147955.08391727725</v>
      </c>
      <c r="P14" s="41">
        <f t="shared" si="7"/>
        <v>-90704.518173327378</v>
      </c>
      <c r="Q14"/>
    </row>
    <row r="15" spans="1:29" x14ac:dyDescent="0.25">
      <c r="A15">
        <f t="shared" si="3"/>
        <v>0.18469656992084432</v>
      </c>
      <c r="B15">
        <f t="shared" si="8"/>
        <v>7</v>
      </c>
      <c r="C15">
        <f t="shared" si="4"/>
        <v>0</v>
      </c>
      <c r="D15">
        <f t="shared" si="5"/>
        <v>0</v>
      </c>
      <c r="I15" s="41">
        <f t="shared" si="6"/>
        <v>-90307.926832784287</v>
      </c>
      <c r="J15" s="41">
        <f t="shared" si="0"/>
        <v>-144268.41329721245</v>
      </c>
      <c r="K15" s="41">
        <f t="shared" si="1"/>
        <v>-89753.044982142252</v>
      </c>
      <c r="M15"/>
      <c r="N15"/>
      <c r="O15" s="41">
        <f t="shared" si="2"/>
        <v>-147951.87426717248</v>
      </c>
      <c r="P15" s="41">
        <f t="shared" si="7"/>
        <v>-90771.230831881461</v>
      </c>
      <c r="Q15"/>
    </row>
    <row r="16" spans="1:29" x14ac:dyDescent="0.25">
      <c r="A16">
        <f t="shared" si="3"/>
        <v>0.21108179419525067</v>
      </c>
      <c r="B16">
        <f t="shared" si="8"/>
        <v>8</v>
      </c>
      <c r="C16">
        <f t="shared" si="4"/>
        <v>0</v>
      </c>
      <c r="D16">
        <f t="shared" si="5"/>
        <v>0</v>
      </c>
      <c r="I16" s="41">
        <f t="shared" si="6"/>
        <v>-90307.926832784287</v>
      </c>
      <c r="J16" s="41">
        <f t="shared" si="0"/>
        <v>-144259.9106093153</v>
      </c>
      <c r="K16" s="41">
        <f t="shared" si="1"/>
        <v>-89810.912418785912</v>
      </c>
      <c r="M16"/>
      <c r="N16"/>
      <c r="O16" s="41">
        <f t="shared" si="2"/>
        <v>-147948.64472671971</v>
      </c>
      <c r="P16" s="41">
        <f t="shared" si="7"/>
        <v>-90838.116425285232</v>
      </c>
      <c r="Q16"/>
    </row>
    <row r="17" spans="1:16" x14ac:dyDescent="0.25">
      <c r="A17">
        <f t="shared" si="3"/>
        <v>0.23746701846965701</v>
      </c>
      <c r="B17">
        <f t="shared" si="8"/>
        <v>9</v>
      </c>
      <c r="C17">
        <f t="shared" si="4"/>
        <v>0</v>
      </c>
      <c r="D17">
        <f t="shared" si="5"/>
        <v>0</v>
      </c>
      <c r="I17" s="41">
        <f t="shared" si="6"/>
        <v>-90307.926832784287</v>
      </c>
      <c r="J17" s="41">
        <f t="shared" si="0"/>
        <v>-144251.40263680185</v>
      </c>
      <c r="K17" s="41">
        <f t="shared" si="1"/>
        <v>-89869.193495487212</v>
      </c>
      <c r="L17" t="s">
        <v>230</v>
      </c>
      <c r="O17" s="41">
        <f t="shared" si="2"/>
        <v>-147945.39547960486</v>
      </c>
      <c r="P17" s="41">
        <f t="shared" si="7"/>
        <v>-90905.173777452001</v>
      </c>
    </row>
    <row r="18" spans="1:16" x14ac:dyDescent="0.25">
      <c r="A18">
        <f t="shared" si="3"/>
        <v>0.26385224274406333</v>
      </c>
      <c r="B18">
        <f t="shared" si="8"/>
        <v>10</v>
      </c>
      <c r="C18">
        <f t="shared" si="4"/>
        <v>0</v>
      </c>
      <c r="D18">
        <f t="shared" si="5"/>
        <v>0</v>
      </c>
      <c r="I18" s="41">
        <f t="shared" si="6"/>
        <v>-90307.926832784287</v>
      </c>
      <c r="J18" s="41">
        <f t="shared" si="0"/>
        <v>-144242.8885074369</v>
      </c>
      <c r="K18" s="41">
        <f t="shared" si="1"/>
        <v>-89927.519946125671</v>
      </c>
      <c r="O18" s="41">
        <f t="shared" si="2"/>
        <v>-147942.12670694239</v>
      </c>
      <c r="P18" s="41">
        <f t="shared" si="7"/>
        <v>-90972.401601607649</v>
      </c>
    </row>
    <row r="19" spans="1:16" x14ac:dyDescent="0.25">
      <c r="A19">
        <f t="shared" si="3"/>
        <v>0.29023746701846964</v>
      </c>
      <c r="B19">
        <f t="shared" si="8"/>
        <v>11</v>
      </c>
      <c r="C19">
        <f t="shared" si="4"/>
        <v>0</v>
      </c>
      <c r="D19">
        <f t="shared" si="5"/>
        <v>0</v>
      </c>
      <c r="I19" s="41">
        <f t="shared" si="6"/>
        <v>-90307.926832784287</v>
      </c>
      <c r="J19" s="41">
        <f t="shared" si="0"/>
        <v>-144234.36962928544</v>
      </c>
      <c r="K19" s="41">
        <f t="shared" si="1"/>
        <v>-89986.455689612194</v>
      </c>
      <c r="O19" s="41">
        <f t="shared" si="2"/>
        <v>-147938.8385873232</v>
      </c>
      <c r="P19" s="41">
        <f t="shared" si="7"/>
        <v>-91039.798495873285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B1:AB32"/>
  <sheetViews>
    <sheetView zoomScale="70" zoomScaleNormal="70" workbookViewId="0">
      <selection activeCell="M3" sqref="M3"/>
    </sheetView>
  </sheetViews>
  <sheetFormatPr defaultRowHeight="15" x14ac:dyDescent="0.25"/>
  <cols>
    <col min="3" max="3" width="12" bestFit="1" customWidth="1"/>
    <col min="4" max="4" width="13.85546875" customWidth="1"/>
    <col min="5" max="5" width="11.7109375" customWidth="1"/>
    <col min="6" max="6" width="9.7109375" customWidth="1"/>
    <col min="7" max="7" width="10.5703125" bestFit="1" customWidth="1"/>
    <col min="8" max="10" width="9.7109375" customWidth="1"/>
    <col min="11" max="11" width="9.42578125" customWidth="1"/>
    <col min="12" max="14" width="9.7109375" customWidth="1"/>
    <col min="16" max="16" width="9.42578125" bestFit="1" customWidth="1"/>
    <col min="17" max="17" width="8.85546875" customWidth="1"/>
    <col min="19" max="19" width="9.42578125" bestFit="1" customWidth="1"/>
  </cols>
  <sheetData>
    <row r="1" spans="2:28" x14ac:dyDescent="0.25">
      <c r="B1" t="s">
        <v>16</v>
      </c>
      <c r="C1">
        <v>0.20100000000000001</v>
      </c>
      <c r="AA1" t="s">
        <v>256</v>
      </c>
      <c r="AB1" s="27" t="e">
        <f>2*(_B3+3*_B4/Tr)/(Tr^2*Vr)-3*_C3/(Tr^3*Vr^2)-6*E</f>
        <v>#NAME?</v>
      </c>
    </row>
    <row r="2" spans="2:28" x14ac:dyDescent="0.25">
      <c r="B2" t="s">
        <v>265</v>
      </c>
      <c r="C2">
        <v>300</v>
      </c>
      <c r="D2" t="s">
        <v>231</v>
      </c>
      <c r="E2" s="10">
        <f>C2/425.1</f>
        <v>0.7057163020465772</v>
      </c>
      <c r="AA2" t="s">
        <v>258</v>
      </c>
      <c r="AB2" s="27" t="e">
        <f>1/Vr*(1+(_b1+_B3/Tr^2+2*_B4/Tr^3)/Vr+(_C1-2*_C3/Tr^3)/(2*Vr^2)+_d1/(5*Vr^5)-2*_c4/(Tr^3*Vr^2)*((beta+gamma/Vr^2)*EXP(-gamma/Vr^2)))</f>
        <v>#NAME?</v>
      </c>
    </row>
    <row r="3" spans="2:28" x14ac:dyDescent="0.25">
      <c r="B3" t="s">
        <v>266</v>
      </c>
      <c r="C3">
        <v>37</v>
      </c>
      <c r="M3" s="43"/>
      <c r="AA3" t="s">
        <v>260</v>
      </c>
      <c r="AB3" s="27" t="e">
        <f>-Tr/Vr^2*(1+2*_B/Vr+3*_C/Vr^2+6*_D/Vr^5+_c4/(Tr^3*Vr^2)*(3*beta+(5-2*(beta+gamma/Vr^2))*gamma/Vr^2)*EXP(-gamma/Vr^2))</f>
        <v>#NAME?</v>
      </c>
    </row>
    <row r="4" spans="2:28" x14ac:dyDescent="0.25">
      <c r="B4" t="s">
        <v>278</v>
      </c>
      <c r="C4">
        <v>38</v>
      </c>
      <c r="F4">
        <v>2</v>
      </c>
      <c r="G4" s="71">
        <v>12</v>
      </c>
      <c r="H4" s="70">
        <f>LK_Z0($F$4,G4,$C$1,1)</f>
        <v>0</v>
      </c>
      <c r="I4" s="70">
        <f>LK_Z1($F$4,G4,$C$1,1)</f>
        <v>0</v>
      </c>
      <c r="L4" s="3"/>
      <c r="M4" s="44"/>
      <c r="AA4" t="s">
        <v>262</v>
      </c>
      <c r="AB4" s="27" t="e">
        <f>AB1-1-Tr*AB2^2/AB3</f>
        <v>#NAME?</v>
      </c>
    </row>
    <row r="5" spans="2:28" x14ac:dyDescent="0.25">
      <c r="L5" s="46"/>
    </row>
    <row r="7" spans="2:28" x14ac:dyDescent="0.25">
      <c r="B7" t="s">
        <v>246</v>
      </c>
      <c r="C7" s="53">
        <v>0.1181193</v>
      </c>
      <c r="D7" s="53">
        <v>0.2026579</v>
      </c>
      <c r="E7" s="47"/>
      <c r="F7" s="54" t="s">
        <v>227</v>
      </c>
      <c r="G7" s="55" t="s">
        <v>232</v>
      </c>
      <c r="H7" s="55" t="s">
        <v>241</v>
      </c>
      <c r="I7" s="55" t="s">
        <v>267</v>
      </c>
      <c r="J7" s="55" t="s">
        <v>242</v>
      </c>
      <c r="K7" s="55" t="s">
        <v>248</v>
      </c>
      <c r="L7" s="55" t="s">
        <v>268</v>
      </c>
      <c r="M7" s="55" t="s">
        <v>269</v>
      </c>
      <c r="N7" s="55" t="s">
        <v>270</v>
      </c>
      <c r="O7" s="55" t="s">
        <v>271</v>
      </c>
      <c r="P7" s="55" t="s">
        <v>274</v>
      </c>
      <c r="Q7" s="55" t="s">
        <v>272</v>
      </c>
      <c r="R7" s="55" t="s">
        <v>273</v>
      </c>
      <c r="S7" s="55" t="s">
        <v>275</v>
      </c>
      <c r="T7" s="56" t="s">
        <v>251</v>
      </c>
      <c r="U7" s="56" t="s">
        <v>277</v>
      </c>
    </row>
    <row r="8" spans="2:28" x14ac:dyDescent="0.25">
      <c r="B8" t="s">
        <v>247</v>
      </c>
      <c r="C8" s="18">
        <v>0.26572800000000002</v>
      </c>
      <c r="D8" s="18">
        <v>0.331511</v>
      </c>
      <c r="F8">
        <v>1</v>
      </c>
      <c r="G8" s="45">
        <f>F8/$C$4</f>
        <v>2.6315789473684209E-2</v>
      </c>
      <c r="H8" s="5">
        <f t="shared" ref="H8:H17" si="0">LK_Z0($E$2,G8,$C$1,1)</f>
        <v>0</v>
      </c>
      <c r="I8" s="3">
        <f t="shared" ref="I8:I16" si="1">LK_Z1($E$2,G8,$C$1,1)</f>
        <v>0</v>
      </c>
      <c r="J8" s="18">
        <f>I8*0.3978+H8</f>
        <v>0</v>
      </c>
      <c r="K8" s="10">
        <f>H8+I8*$C$1</f>
        <v>0</v>
      </c>
      <c r="L8" s="45">
        <f t="shared" ref="L8:L18" si="2">H8*Tr/G8</f>
        <v>0</v>
      </c>
      <c r="M8" s="45">
        <f t="shared" ref="M8:M18" si="3">J8*Tr/G8</f>
        <v>0</v>
      </c>
      <c r="N8" s="57" t="e">
        <f t="shared" ref="N8:N18" si="4">-$E$2 * (H8- 1 - ($C$8 + 2 * $C$9 / $E$2 + 3 * $C$10 / $E$2 ^2) / ($E$2 * L8) - ($C$12 - 3 * $C$13 / $E$2 ^2 ) / (2 * $E$2 * L8 ^2) + $C$16 / (5 * $E$2 *(L8^ 5)) + 3 * $H22)</f>
        <v>#DIV/0!</v>
      </c>
      <c r="O8" s="57" t="e">
        <f>-$E$2 * (J8- 1 - ($D$8 + 2 * $D$9 / $E$2 + 3 * $D$10 / $E$2 ^2) / ($E$2 * M8) - ($D$12 - 3 * $D$13 / $E$2 ^2 ) / (2 * $E$2 * M8 ^2) + $D$16 / (5 * $E$2 *(M8^ 5)) + 3 * $I22)</f>
        <v>#DIV/0!</v>
      </c>
      <c r="P8" s="48" t="e">
        <f>(O8-N8)/0.3978</f>
        <v>#DIV/0!</v>
      </c>
      <c r="Q8" s="58" t="e">
        <f t="shared" ref="Q8:Q18" si="5">LN(H8)-(_b1+_B3/$E$2^2+2*_B4/Tr^3)/L8-(_C1-2*_C3/Tr^3)/(2*L8^2)-_d1/(5*L8^5)+2*H22</f>
        <v>#NUM!</v>
      </c>
      <c r="R8" s="49" t="e">
        <f t="shared" ref="R8:R18" si="6">LN(J8)-($D$7+$D$9/$E$2^2+2*$D$10/$E$2^3)/M8-($D$11-2*$D$13/$E$2^3)/(2*M8^2)-$D$15/(5*M8^5)+2*$I22</f>
        <v>#NUM!</v>
      </c>
      <c r="S8" s="52" t="e">
        <f>(R8-Q8)/0.3978</f>
        <v>#NUM!</v>
      </c>
      <c r="T8" s="52" t="e">
        <f>N8+P8*$C$1</f>
        <v>#DIV/0!</v>
      </c>
      <c r="U8" s="52" t="e">
        <f>Q8+S8*$C$1</f>
        <v>#NUM!</v>
      </c>
    </row>
    <row r="9" spans="2:28" x14ac:dyDescent="0.25">
      <c r="B9" t="s">
        <v>249</v>
      </c>
      <c r="C9" s="18">
        <v>0.15479000000000001</v>
      </c>
      <c r="D9" s="18">
        <v>2.7654999999999999E-2</v>
      </c>
      <c r="E9" s="47"/>
      <c r="F9">
        <f>F8+1</f>
        <v>2</v>
      </c>
      <c r="G9" s="45">
        <f t="shared" ref="G9:G18" si="7">F9/$C$4</f>
        <v>5.2631578947368418E-2</v>
      </c>
      <c r="H9" s="5">
        <f t="shared" si="0"/>
        <v>0</v>
      </c>
      <c r="I9" s="3">
        <f t="shared" si="1"/>
        <v>0</v>
      </c>
      <c r="J9" s="18">
        <f t="shared" ref="J9:J18" si="8">I9*0.3978+H9</f>
        <v>0</v>
      </c>
      <c r="K9" s="10">
        <f t="shared" ref="K9:K18" si="9">H9+I9*$C$1</f>
        <v>0</v>
      </c>
      <c r="L9" s="45">
        <f t="shared" si="2"/>
        <v>0</v>
      </c>
      <c r="M9" s="45">
        <f t="shared" si="3"/>
        <v>0</v>
      </c>
      <c r="N9" s="57" t="e">
        <f t="shared" si="4"/>
        <v>#DIV/0!</v>
      </c>
      <c r="O9" s="57" t="e">
        <f t="shared" ref="O9:O18" si="10">-$E$2 * (J9- 1 - ($D$8 + 2 * $D$9 / $E$2 + 3 * $D$10 / $E$2 ^2) / ($E$2 * M9) - ($D$12 - 3 * $D$13 / $E$2 ^2 ) / (2 * $E$2 * M9 ^2) + $D$16 / (5 * $E$2 *(M9^ 5)) + 3 * $I23)</f>
        <v>#DIV/0!</v>
      </c>
      <c r="P9" s="48" t="e">
        <f t="shared" ref="P9:P18" si="11">(O9-N9)/0.3978</f>
        <v>#DIV/0!</v>
      </c>
      <c r="Q9" s="58" t="e">
        <f t="shared" si="5"/>
        <v>#NUM!</v>
      </c>
      <c r="R9" s="49" t="e">
        <f t="shared" si="6"/>
        <v>#NUM!</v>
      </c>
      <c r="S9" s="52" t="e">
        <f t="shared" ref="S9:S18" si="12">(R9-Q9)/0.3978</f>
        <v>#NUM!</v>
      </c>
      <c r="T9" s="52" t="e">
        <f t="shared" ref="T9:T18" si="13">N9+P9*$C$1</f>
        <v>#DIV/0!</v>
      </c>
      <c r="U9" s="52" t="e">
        <f t="shared" ref="U9:U18" si="14">Q9+S9*$C$1</f>
        <v>#NUM!</v>
      </c>
    </row>
    <row r="10" spans="2:28" x14ac:dyDescent="0.25">
      <c r="B10" t="s">
        <v>250</v>
      </c>
      <c r="C10" s="18">
        <v>3.0322999999999999E-2</v>
      </c>
      <c r="D10" s="18">
        <v>0.203488</v>
      </c>
      <c r="E10" s="47"/>
      <c r="F10">
        <f t="shared" ref="F10:F18" si="15">F9+1</f>
        <v>3</v>
      </c>
      <c r="G10" s="45">
        <f t="shared" si="7"/>
        <v>7.8947368421052627E-2</v>
      </c>
      <c r="H10" s="5">
        <f t="shared" si="0"/>
        <v>0</v>
      </c>
      <c r="I10" s="3">
        <f t="shared" si="1"/>
        <v>0</v>
      </c>
      <c r="J10" s="18">
        <f t="shared" si="8"/>
        <v>0</v>
      </c>
      <c r="K10" s="10">
        <f t="shared" si="9"/>
        <v>0</v>
      </c>
      <c r="L10" s="45">
        <f t="shared" si="2"/>
        <v>0</v>
      </c>
      <c r="M10" s="45">
        <f t="shared" si="3"/>
        <v>0</v>
      </c>
      <c r="N10" s="57" t="e">
        <f t="shared" si="4"/>
        <v>#DIV/0!</v>
      </c>
      <c r="O10" s="57" t="e">
        <f t="shared" si="10"/>
        <v>#DIV/0!</v>
      </c>
      <c r="P10" s="48" t="e">
        <f t="shared" si="11"/>
        <v>#DIV/0!</v>
      </c>
      <c r="Q10" s="58" t="e">
        <f t="shared" si="5"/>
        <v>#NUM!</v>
      </c>
      <c r="R10" s="49" t="e">
        <f t="shared" si="6"/>
        <v>#NUM!</v>
      </c>
      <c r="S10" s="52" t="e">
        <f t="shared" si="12"/>
        <v>#NUM!</v>
      </c>
      <c r="T10" s="52" t="e">
        <f t="shared" si="13"/>
        <v>#DIV/0!</v>
      </c>
      <c r="U10" s="52" t="e">
        <f t="shared" si="14"/>
        <v>#NUM!</v>
      </c>
    </row>
    <row r="11" spans="2:28" x14ac:dyDescent="0.25">
      <c r="B11" t="s">
        <v>252</v>
      </c>
      <c r="C11" s="18">
        <v>2.3674400000000002E-2</v>
      </c>
      <c r="D11" s="18">
        <v>3.1338499999999998E-2</v>
      </c>
      <c r="E11" s="47"/>
      <c r="F11">
        <f t="shared" si="15"/>
        <v>4</v>
      </c>
      <c r="G11" s="45">
        <f t="shared" si="7"/>
        <v>0.10526315789473684</v>
      </c>
      <c r="H11" s="5">
        <f t="shared" si="0"/>
        <v>0</v>
      </c>
      <c r="I11" s="3">
        <f t="shared" si="1"/>
        <v>0</v>
      </c>
      <c r="J11" s="18">
        <f t="shared" si="8"/>
        <v>0</v>
      </c>
      <c r="K11" s="10">
        <f t="shared" si="9"/>
        <v>0</v>
      </c>
      <c r="L11" s="45">
        <f t="shared" si="2"/>
        <v>0</v>
      </c>
      <c r="M11" s="45">
        <f t="shared" si="3"/>
        <v>0</v>
      </c>
      <c r="N11" s="57" t="e">
        <f t="shared" si="4"/>
        <v>#DIV/0!</v>
      </c>
      <c r="O11" s="57" t="e">
        <f t="shared" si="10"/>
        <v>#DIV/0!</v>
      </c>
      <c r="P11" s="48" t="e">
        <f t="shared" si="11"/>
        <v>#DIV/0!</v>
      </c>
      <c r="Q11" s="58" t="e">
        <f t="shared" si="5"/>
        <v>#NUM!</v>
      </c>
      <c r="R11" s="49" t="e">
        <f t="shared" si="6"/>
        <v>#NUM!</v>
      </c>
      <c r="S11" s="52" t="e">
        <f t="shared" si="12"/>
        <v>#NUM!</v>
      </c>
      <c r="T11" s="52" t="e">
        <f t="shared" si="13"/>
        <v>#DIV/0!</v>
      </c>
      <c r="U11" s="52" t="e">
        <f t="shared" si="14"/>
        <v>#NUM!</v>
      </c>
    </row>
    <row r="12" spans="2:28" x14ac:dyDescent="0.25">
      <c r="B12" t="s">
        <v>253</v>
      </c>
      <c r="C12" s="53">
        <v>1.86984E-2</v>
      </c>
      <c r="D12" s="53">
        <v>5.0361799999999998E-2</v>
      </c>
      <c r="E12" s="47"/>
      <c r="F12">
        <f t="shared" si="15"/>
        <v>5</v>
      </c>
      <c r="G12" s="45">
        <f t="shared" si="7"/>
        <v>0.13157894736842105</v>
      </c>
      <c r="H12" s="5">
        <f t="shared" si="0"/>
        <v>0</v>
      </c>
      <c r="I12" s="3">
        <f t="shared" si="1"/>
        <v>0</v>
      </c>
      <c r="J12" s="18">
        <f t="shared" si="8"/>
        <v>0</v>
      </c>
      <c r="K12" s="10">
        <f t="shared" si="9"/>
        <v>0</v>
      </c>
      <c r="L12" s="45">
        <f t="shared" si="2"/>
        <v>0</v>
      </c>
      <c r="M12" s="45">
        <f t="shared" si="3"/>
        <v>0</v>
      </c>
      <c r="N12" s="57" t="e">
        <f t="shared" si="4"/>
        <v>#DIV/0!</v>
      </c>
      <c r="O12" s="57" t="e">
        <f t="shared" si="10"/>
        <v>#DIV/0!</v>
      </c>
      <c r="P12" s="48" t="e">
        <f t="shared" si="11"/>
        <v>#DIV/0!</v>
      </c>
      <c r="Q12" s="58" t="e">
        <f t="shared" si="5"/>
        <v>#NUM!</v>
      </c>
      <c r="R12" s="49" t="e">
        <f t="shared" si="6"/>
        <v>#NUM!</v>
      </c>
      <c r="S12" s="52" t="e">
        <f t="shared" si="12"/>
        <v>#NUM!</v>
      </c>
      <c r="T12" s="52" t="e">
        <f t="shared" si="13"/>
        <v>#DIV/0!</v>
      </c>
      <c r="U12" s="52" t="e">
        <f t="shared" si="14"/>
        <v>#NUM!</v>
      </c>
    </row>
    <row r="13" spans="2:28" x14ac:dyDescent="0.25">
      <c r="B13" t="s">
        <v>254</v>
      </c>
      <c r="C13" s="18">
        <v>0</v>
      </c>
      <c r="D13" s="18">
        <v>1.6900999999999999E-2</v>
      </c>
      <c r="E13" s="47"/>
      <c r="F13">
        <f t="shared" si="15"/>
        <v>6</v>
      </c>
      <c r="G13" s="45">
        <f t="shared" si="7"/>
        <v>0.15789473684210525</v>
      </c>
      <c r="H13" s="5">
        <f t="shared" si="0"/>
        <v>0</v>
      </c>
      <c r="I13" s="3">
        <f t="shared" si="1"/>
        <v>0</v>
      </c>
      <c r="J13" s="18">
        <f t="shared" si="8"/>
        <v>0</v>
      </c>
      <c r="K13" s="10">
        <f t="shared" si="9"/>
        <v>0</v>
      </c>
      <c r="L13" s="45">
        <f t="shared" si="2"/>
        <v>0</v>
      </c>
      <c r="M13" s="45">
        <f t="shared" si="3"/>
        <v>0</v>
      </c>
      <c r="N13" s="57" t="e">
        <f t="shared" si="4"/>
        <v>#DIV/0!</v>
      </c>
      <c r="O13" s="57" t="e">
        <f t="shared" si="10"/>
        <v>#DIV/0!</v>
      </c>
      <c r="P13" s="48" t="e">
        <f t="shared" si="11"/>
        <v>#DIV/0!</v>
      </c>
      <c r="Q13" s="58" t="e">
        <f t="shared" si="5"/>
        <v>#NUM!</v>
      </c>
      <c r="R13" s="49" t="e">
        <f t="shared" si="6"/>
        <v>#NUM!</v>
      </c>
      <c r="S13" s="52" t="e">
        <f t="shared" si="12"/>
        <v>#NUM!</v>
      </c>
      <c r="T13" s="52" t="e">
        <f t="shared" si="13"/>
        <v>#DIV/0!</v>
      </c>
      <c r="U13" s="52" t="e">
        <f t="shared" si="14"/>
        <v>#NUM!</v>
      </c>
    </row>
    <row r="14" spans="2:28" x14ac:dyDescent="0.25">
      <c r="B14" t="s">
        <v>255</v>
      </c>
      <c r="C14" s="18">
        <v>4.2723999999999998E-2</v>
      </c>
      <c r="D14" s="18">
        <v>4.1577000000000003E-2</v>
      </c>
      <c r="E14" s="47"/>
      <c r="F14">
        <f>F13+1</f>
        <v>7</v>
      </c>
      <c r="G14" s="45">
        <f t="shared" si="7"/>
        <v>0.18421052631578946</v>
      </c>
      <c r="H14" s="5">
        <f t="shared" si="0"/>
        <v>0</v>
      </c>
      <c r="I14" s="3">
        <f t="shared" si="1"/>
        <v>0</v>
      </c>
      <c r="J14" s="18">
        <f t="shared" si="8"/>
        <v>0</v>
      </c>
      <c r="K14" s="10">
        <f t="shared" si="9"/>
        <v>0</v>
      </c>
      <c r="L14" s="45">
        <f t="shared" si="2"/>
        <v>0</v>
      </c>
      <c r="M14" s="45">
        <f t="shared" si="3"/>
        <v>0</v>
      </c>
      <c r="N14" s="57" t="e">
        <f t="shared" si="4"/>
        <v>#DIV/0!</v>
      </c>
      <c r="O14" s="57" t="e">
        <f t="shared" si="10"/>
        <v>#DIV/0!</v>
      </c>
      <c r="P14" s="48" t="e">
        <f t="shared" si="11"/>
        <v>#DIV/0!</v>
      </c>
      <c r="Q14" s="58" t="e">
        <f t="shared" si="5"/>
        <v>#NUM!</v>
      </c>
      <c r="R14" s="49" t="e">
        <f t="shared" si="6"/>
        <v>#NUM!</v>
      </c>
      <c r="S14" s="52" t="e">
        <f t="shared" si="12"/>
        <v>#NUM!</v>
      </c>
      <c r="T14" s="52" t="e">
        <f t="shared" si="13"/>
        <v>#DIV/0!</v>
      </c>
      <c r="U14" s="52" t="e">
        <f t="shared" si="14"/>
        <v>#NUM!</v>
      </c>
    </row>
    <row r="15" spans="2:28" x14ac:dyDescent="0.25">
      <c r="B15" t="s">
        <v>257</v>
      </c>
      <c r="C15" s="68">
        <v>1.5548799999999999E-5</v>
      </c>
      <c r="D15" s="68">
        <v>4.8736000000000002E-5</v>
      </c>
      <c r="E15" s="47"/>
      <c r="F15">
        <f t="shared" si="15"/>
        <v>8</v>
      </c>
      <c r="G15" s="45">
        <f t="shared" si="7"/>
        <v>0.21052631578947367</v>
      </c>
      <c r="H15" s="5">
        <f t="shared" si="0"/>
        <v>0</v>
      </c>
      <c r="I15" s="3">
        <f t="shared" si="1"/>
        <v>0</v>
      </c>
      <c r="J15" s="18">
        <f t="shared" si="8"/>
        <v>0</v>
      </c>
      <c r="K15" s="10">
        <f t="shared" si="9"/>
        <v>0</v>
      </c>
      <c r="L15" s="45">
        <f t="shared" si="2"/>
        <v>0</v>
      </c>
      <c r="M15" s="45">
        <f t="shared" si="3"/>
        <v>0</v>
      </c>
      <c r="N15" s="57" t="e">
        <f t="shared" si="4"/>
        <v>#DIV/0!</v>
      </c>
      <c r="O15" s="57" t="e">
        <f t="shared" si="10"/>
        <v>#DIV/0!</v>
      </c>
      <c r="P15" s="48" t="e">
        <f t="shared" si="11"/>
        <v>#DIV/0!</v>
      </c>
      <c r="Q15" s="58" t="e">
        <f t="shared" si="5"/>
        <v>#NUM!</v>
      </c>
      <c r="R15" s="49" t="e">
        <f t="shared" si="6"/>
        <v>#NUM!</v>
      </c>
      <c r="S15" s="52" t="e">
        <f t="shared" si="12"/>
        <v>#NUM!</v>
      </c>
      <c r="T15" s="52" t="e">
        <f t="shared" si="13"/>
        <v>#DIV/0!</v>
      </c>
      <c r="U15" s="52" t="e">
        <f t="shared" si="14"/>
        <v>#NUM!</v>
      </c>
    </row>
    <row r="16" spans="2:28" x14ac:dyDescent="0.25">
      <c r="B16" t="s">
        <v>259</v>
      </c>
      <c r="C16" s="69">
        <v>6.2368900000000005E-5</v>
      </c>
      <c r="D16" s="69">
        <v>7.4033599999999999E-6</v>
      </c>
      <c r="E16" s="47"/>
      <c r="F16">
        <f t="shared" si="15"/>
        <v>9</v>
      </c>
      <c r="G16" s="45">
        <f t="shared" si="7"/>
        <v>0.23684210526315788</v>
      </c>
      <c r="H16" s="5">
        <f t="shared" si="0"/>
        <v>0</v>
      </c>
      <c r="I16" s="3">
        <f t="shared" si="1"/>
        <v>0</v>
      </c>
      <c r="J16" s="18">
        <f t="shared" si="8"/>
        <v>0</v>
      </c>
      <c r="K16" s="10">
        <f t="shared" si="9"/>
        <v>0</v>
      </c>
      <c r="L16" s="45">
        <f t="shared" si="2"/>
        <v>0</v>
      </c>
      <c r="M16" s="45">
        <f t="shared" si="3"/>
        <v>0</v>
      </c>
      <c r="N16" s="57" t="e">
        <f t="shared" si="4"/>
        <v>#DIV/0!</v>
      </c>
      <c r="O16" s="57" t="e">
        <f t="shared" si="10"/>
        <v>#DIV/0!</v>
      </c>
      <c r="P16" s="48" t="e">
        <f t="shared" si="11"/>
        <v>#DIV/0!</v>
      </c>
      <c r="Q16" s="58" t="e">
        <f t="shared" si="5"/>
        <v>#NUM!</v>
      </c>
      <c r="R16" s="49" t="e">
        <f t="shared" si="6"/>
        <v>#NUM!</v>
      </c>
      <c r="S16" s="52" t="e">
        <f t="shared" si="12"/>
        <v>#NUM!</v>
      </c>
      <c r="T16" s="52" t="e">
        <f t="shared" si="13"/>
        <v>#DIV/0!</v>
      </c>
      <c r="U16" s="52" t="e">
        <f t="shared" si="14"/>
        <v>#NUM!</v>
      </c>
    </row>
    <row r="17" spans="2:21" x14ac:dyDescent="0.25">
      <c r="B17" t="s">
        <v>261</v>
      </c>
      <c r="C17" s="15">
        <v>0.65391999999999995</v>
      </c>
      <c r="D17" s="15">
        <v>1.226</v>
      </c>
      <c r="E17" s="47"/>
      <c r="F17" s="34">
        <f t="shared" si="15"/>
        <v>10</v>
      </c>
      <c r="G17" s="60">
        <f t="shared" si="7"/>
        <v>0.26315789473684209</v>
      </c>
      <c r="H17" s="37">
        <f t="shared" si="0"/>
        <v>0</v>
      </c>
      <c r="I17" s="61">
        <f>LK_Z1($E$2,G17,$C$1,1)</f>
        <v>0</v>
      </c>
      <c r="J17" s="62">
        <f t="shared" si="8"/>
        <v>0</v>
      </c>
      <c r="K17" s="10">
        <f t="shared" si="9"/>
        <v>0</v>
      </c>
      <c r="L17" s="60">
        <f t="shared" si="2"/>
        <v>0</v>
      </c>
      <c r="M17" s="60">
        <f t="shared" si="3"/>
        <v>0</v>
      </c>
      <c r="N17" s="63" t="e">
        <f t="shared" si="4"/>
        <v>#DIV/0!</v>
      </c>
      <c r="O17" s="63" t="e">
        <f t="shared" si="10"/>
        <v>#DIV/0!</v>
      </c>
      <c r="P17" s="64" t="e">
        <f t="shared" si="11"/>
        <v>#DIV/0!</v>
      </c>
      <c r="Q17" s="65" t="e">
        <f t="shared" si="5"/>
        <v>#NUM!</v>
      </c>
      <c r="R17" s="66" t="e">
        <f t="shared" si="6"/>
        <v>#NUM!</v>
      </c>
      <c r="S17" s="67" t="e">
        <f>(R17-Q17)/0.3978</f>
        <v>#NUM!</v>
      </c>
      <c r="T17" s="67" t="e">
        <f t="shared" si="13"/>
        <v>#DIV/0!</v>
      </c>
      <c r="U17" s="67" t="e">
        <f t="shared" si="14"/>
        <v>#NUM!</v>
      </c>
    </row>
    <row r="18" spans="2:21" x14ac:dyDescent="0.25">
      <c r="B18" t="s">
        <v>263</v>
      </c>
      <c r="C18" s="26">
        <v>6.0166999999999998E-2</v>
      </c>
      <c r="D18" s="26">
        <v>3.7539999999999997E-2</v>
      </c>
      <c r="E18" s="47"/>
      <c r="F18">
        <f t="shared" si="15"/>
        <v>11</v>
      </c>
      <c r="G18" s="45">
        <f t="shared" si="7"/>
        <v>0.28947368421052633</v>
      </c>
      <c r="H18" s="5">
        <f>LK_Z0($E$2,G18,$C$1,1)</f>
        <v>0</v>
      </c>
      <c r="I18" s="3">
        <f>LK_Z1($E$2,G18,$C$1,1)</f>
        <v>0</v>
      </c>
      <c r="J18" s="18">
        <f t="shared" si="8"/>
        <v>0</v>
      </c>
      <c r="K18" s="10">
        <f t="shared" si="9"/>
        <v>0</v>
      </c>
      <c r="L18" s="45">
        <f t="shared" si="2"/>
        <v>0</v>
      </c>
      <c r="M18" s="45">
        <f t="shared" si="3"/>
        <v>0</v>
      </c>
      <c r="N18" s="57" t="e">
        <f t="shared" si="4"/>
        <v>#DIV/0!</v>
      </c>
      <c r="O18" s="57" t="e">
        <f t="shared" si="10"/>
        <v>#DIV/0!</v>
      </c>
      <c r="P18" s="48" t="e">
        <f t="shared" si="11"/>
        <v>#DIV/0!</v>
      </c>
      <c r="Q18" s="58" t="e">
        <f t="shared" si="5"/>
        <v>#NUM!</v>
      </c>
      <c r="R18" s="49" t="e">
        <f t="shared" si="6"/>
        <v>#NUM!</v>
      </c>
      <c r="S18" s="52" t="e">
        <f t="shared" si="12"/>
        <v>#NUM!</v>
      </c>
      <c r="T18" s="52" t="e">
        <f t="shared" si="13"/>
        <v>#DIV/0!</v>
      </c>
      <c r="U18" s="52" t="e">
        <f t="shared" si="14"/>
        <v>#NUM!</v>
      </c>
    </row>
    <row r="19" spans="2:21" x14ac:dyDescent="0.25">
      <c r="G19" s="45"/>
      <c r="O19" s="51"/>
      <c r="P19" s="51"/>
      <c r="R19" s="51"/>
    </row>
    <row r="20" spans="2:21" x14ac:dyDescent="0.25">
      <c r="B20" t="s">
        <v>87</v>
      </c>
      <c r="C20" s="16">
        <f>_b1-_b2/Tr-_B3/Tr^2-_B4/Tr^3</f>
        <v>-0.65549276842429927</v>
      </c>
      <c r="F20" s="47"/>
      <c r="G20" s="45"/>
    </row>
    <row r="21" spans="2:21" x14ac:dyDescent="0.25">
      <c r="B21" t="s">
        <v>74</v>
      </c>
      <c r="C21" s="16">
        <f>_C1 - _c2 / Tr + _C3 / Tr^3</f>
        <v>-2.8212328000000002E-3</v>
      </c>
      <c r="F21" s="47"/>
      <c r="G21" s="54" t="s">
        <v>227</v>
      </c>
      <c r="H21" t="s">
        <v>279</v>
      </c>
      <c r="I21" t="s">
        <v>280</v>
      </c>
      <c r="J21" s="3"/>
      <c r="K21" s="3"/>
    </row>
    <row r="22" spans="2:21" x14ac:dyDescent="0.25">
      <c r="B22" t="s">
        <v>264</v>
      </c>
      <c r="C22" s="16">
        <f>_d1+_d2/Tr</f>
        <v>1.0392553130000001E-4</v>
      </c>
      <c r="F22" s="47"/>
      <c r="G22">
        <f>F8</f>
        <v>1</v>
      </c>
      <c r="H22" s="45" t="e">
        <f t="shared" ref="H22:H32" si="16">$C$14 / (2 * $E$2^ 3 * $C$18) * ($C$17 + 1 - ($C$17 + 1 + $C$18 / L8 ^2 )*EXP( -$C$18 / L8 ^2))</f>
        <v>#DIV/0!</v>
      </c>
      <c r="I22" s="59" t="e">
        <f t="shared" ref="I22:I32" si="17">$D$14 / (2 * $E$2^ 3 * $D$18) * ($D$17 + 1 - ($D$17 + 1 + $D$18 / M8 ^2 )*EXP( -$D$18 / M8 ^2))</f>
        <v>#DIV/0!</v>
      </c>
      <c r="J22" s="3"/>
      <c r="K22" s="3"/>
    </row>
    <row r="23" spans="2:21" x14ac:dyDescent="0.25">
      <c r="C23" s="50"/>
      <c r="F23" s="47"/>
      <c r="G23">
        <f t="shared" ref="G23:G32" si="18">F9</f>
        <v>2</v>
      </c>
      <c r="H23" s="45" t="e">
        <f t="shared" si="16"/>
        <v>#DIV/0!</v>
      </c>
      <c r="I23" s="59" t="e">
        <f t="shared" si="17"/>
        <v>#DIV/0!</v>
      </c>
    </row>
    <row r="24" spans="2:21" x14ac:dyDescent="0.25">
      <c r="F24" s="47"/>
      <c r="G24">
        <f t="shared" si="18"/>
        <v>3</v>
      </c>
      <c r="H24" s="45" t="e">
        <f t="shared" si="16"/>
        <v>#DIV/0!</v>
      </c>
      <c r="I24" s="59" t="e">
        <f t="shared" si="17"/>
        <v>#DIV/0!</v>
      </c>
    </row>
    <row r="25" spans="2:21" x14ac:dyDescent="0.25">
      <c r="F25" s="47"/>
      <c r="G25">
        <f t="shared" si="18"/>
        <v>4</v>
      </c>
      <c r="H25" s="45" t="e">
        <f t="shared" si="16"/>
        <v>#DIV/0!</v>
      </c>
      <c r="I25" s="59" t="e">
        <f t="shared" si="17"/>
        <v>#DIV/0!</v>
      </c>
    </row>
    <row r="26" spans="2:21" x14ac:dyDescent="0.25">
      <c r="F26" s="47"/>
      <c r="G26">
        <f t="shared" si="18"/>
        <v>5</v>
      </c>
      <c r="H26" s="45" t="e">
        <f t="shared" si="16"/>
        <v>#DIV/0!</v>
      </c>
      <c r="I26" s="59" t="e">
        <f t="shared" si="17"/>
        <v>#DIV/0!</v>
      </c>
    </row>
    <row r="27" spans="2:21" x14ac:dyDescent="0.25">
      <c r="F27" s="47"/>
      <c r="G27">
        <f t="shared" si="18"/>
        <v>6</v>
      </c>
      <c r="H27" s="45" t="e">
        <f t="shared" si="16"/>
        <v>#DIV/0!</v>
      </c>
      <c r="I27" s="59" t="e">
        <f t="shared" si="17"/>
        <v>#DIV/0!</v>
      </c>
    </row>
    <row r="28" spans="2:21" x14ac:dyDescent="0.25">
      <c r="F28" s="47"/>
      <c r="G28">
        <f t="shared" si="18"/>
        <v>7</v>
      </c>
      <c r="H28" s="45" t="e">
        <f t="shared" si="16"/>
        <v>#DIV/0!</v>
      </c>
      <c r="I28" s="59" t="e">
        <f t="shared" si="17"/>
        <v>#DIV/0!</v>
      </c>
    </row>
    <row r="29" spans="2:21" x14ac:dyDescent="0.25">
      <c r="F29" s="47"/>
      <c r="G29">
        <f t="shared" si="18"/>
        <v>8</v>
      </c>
      <c r="H29" s="45" t="e">
        <f t="shared" si="16"/>
        <v>#DIV/0!</v>
      </c>
      <c r="I29" s="59" t="e">
        <f t="shared" si="17"/>
        <v>#DIV/0!</v>
      </c>
    </row>
    <row r="30" spans="2:21" x14ac:dyDescent="0.25">
      <c r="F30" s="47"/>
      <c r="G30">
        <f t="shared" si="18"/>
        <v>9</v>
      </c>
      <c r="H30" s="45" t="e">
        <f t="shared" si="16"/>
        <v>#DIV/0!</v>
      </c>
      <c r="I30" s="59" t="e">
        <f t="shared" si="17"/>
        <v>#DIV/0!</v>
      </c>
    </row>
    <row r="31" spans="2:21" x14ac:dyDescent="0.25">
      <c r="F31" s="47"/>
      <c r="G31">
        <f t="shared" si="18"/>
        <v>10</v>
      </c>
      <c r="H31" s="45" t="e">
        <f t="shared" si="16"/>
        <v>#DIV/0!</v>
      </c>
      <c r="I31" s="59" t="e">
        <f t="shared" si="17"/>
        <v>#DIV/0!</v>
      </c>
    </row>
    <row r="32" spans="2:21" x14ac:dyDescent="0.25">
      <c r="G32">
        <f t="shared" si="18"/>
        <v>11</v>
      </c>
      <c r="H32" s="45" t="e">
        <f t="shared" si="16"/>
        <v>#DIV/0!</v>
      </c>
      <c r="I32" s="59" t="e">
        <f t="shared" si="17"/>
        <v>#DIV/0!</v>
      </c>
    </row>
  </sheetData>
  <dataValidations disablePrompts="1" count="1">
    <dataValidation type="list" allowBlank="1" showInputMessage="1" showErrorMessage="1" sqref="C6" xr:uid="{00000000-0002-0000-0200-000000000000}">
      <formula1>"Simple, Corr"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8:P35"/>
  <sheetViews>
    <sheetView workbookViewId="0">
      <selection activeCell="B27" sqref="B27"/>
    </sheetView>
  </sheetViews>
  <sheetFormatPr defaultRowHeight="15" x14ac:dyDescent="0.25"/>
  <sheetData>
    <row r="8" spans="3:16" x14ac:dyDescent="0.25">
      <c r="C8" t="s">
        <v>73</v>
      </c>
      <c r="L8" t="s">
        <v>55</v>
      </c>
    </row>
    <row r="9" spans="3:16" x14ac:dyDescent="0.25">
      <c r="C9" t="s">
        <v>37</v>
      </c>
      <c r="D9">
        <f>-1+273.15</f>
        <v>272.14999999999998</v>
      </c>
      <c r="E9">
        <f>-42.25+273.15</f>
        <v>230.89999999999998</v>
      </c>
      <c r="G9">
        <f>8.3144*E11*E10*(0.4343*LN(E12)-0.68859+0.89584*E10)/(0.37691-0.037306*E10+0.14878/E12/E9^2)</f>
        <v>8168.965565518457</v>
      </c>
      <c r="L9" t="s">
        <v>56</v>
      </c>
    </row>
    <row r="10" spans="3:16" x14ac:dyDescent="0.25">
      <c r="C10" t="s">
        <v>36</v>
      </c>
      <c r="D10" s="10">
        <f>(D9)/D11</f>
        <v>0.64020230533991995</v>
      </c>
      <c r="E10" s="10">
        <f>(E9)/E11</f>
        <v>0.62537240669519512</v>
      </c>
      <c r="L10" t="s">
        <v>57</v>
      </c>
    </row>
    <row r="11" spans="3:16" x14ac:dyDescent="0.25">
      <c r="C11" t="s">
        <v>38</v>
      </c>
      <c r="D11">
        <v>425.1</v>
      </c>
      <c r="E11">
        <v>369.22</v>
      </c>
    </row>
    <row r="12" spans="3:16" x14ac:dyDescent="0.25">
      <c r="C12" t="s">
        <v>39</v>
      </c>
      <c r="D12">
        <v>37.96</v>
      </c>
      <c r="E12">
        <v>42.94</v>
      </c>
      <c r="L12" t="s">
        <v>40</v>
      </c>
    </row>
    <row r="13" spans="3:16" x14ac:dyDescent="0.25">
      <c r="L13" t="s">
        <v>41</v>
      </c>
    </row>
    <row r="14" spans="3:16" x14ac:dyDescent="0.25">
      <c r="D14" s="9">
        <f>8.3144*Tb*(1-Tbr)^0.38*(LN(Pc-0.513+0.5066*Tc^2/(Pc*Tb^2))/(1-Tbr+(1-(1-Tbr)^0.38)*LN(Tbr)))</f>
        <v>25713.31619147836</v>
      </c>
      <c r="E14" s="9">
        <f>8.3144*E9*(1-E10)^0.38*(LN(E12-0.513+0.5066*E11^2/(E12*E9^2))/(1-E10+(1-(1-E10)^0.38)*LN(E10)))</f>
        <v>21691.012908337012</v>
      </c>
      <c r="L14" t="s">
        <v>42</v>
      </c>
    </row>
    <row r="16" spans="3:16" ht="30" x14ac:dyDescent="0.25">
      <c r="D16">
        <f>O16*8.3144*Tb</f>
        <v>22.983378306861368</v>
      </c>
      <c r="E16">
        <f>P16*8.3144*E9</f>
        <v>19.400212204815364</v>
      </c>
      <c r="L16" s="11" t="s">
        <v>43</v>
      </c>
      <c r="M16" s="11" t="s">
        <v>44</v>
      </c>
      <c r="O16">
        <f>M17+O18*Tbr+O19*Tbr^2+O20*Tbr^3</f>
        <v>1.0157214235841627E-2</v>
      </c>
      <c r="P16">
        <f>M17+P18*E10+P19*E10^2+P20*E10^3</f>
        <v>1.0105356357855722E-2</v>
      </c>
    </row>
    <row r="17" spans="2:16" x14ac:dyDescent="0.25">
      <c r="L17" s="13" t="s">
        <v>45</v>
      </c>
      <c r="M17" s="12">
        <v>1.29E-2</v>
      </c>
    </row>
    <row r="18" spans="2:16" ht="18" x14ac:dyDescent="0.25">
      <c r="L18" s="13" t="s">
        <v>46</v>
      </c>
      <c r="M18" s="12">
        <v>8.5999999999999998E-4</v>
      </c>
      <c r="O18">
        <f>$M$18+$M$19*Pc+$M$20*LN(Pc)</f>
        <v>-3.5517470801970145E-2</v>
      </c>
      <c r="P18">
        <f>$M$18+$M$19*E12+$M$20*LN(E12)</f>
        <v>-4.4358656386817699E-2</v>
      </c>
    </row>
    <row r="19" spans="2:16" ht="18" x14ac:dyDescent="0.25">
      <c r="L19" s="13" t="s">
        <v>47</v>
      </c>
      <c r="M19" s="12">
        <v>-2.0600000000000002E-3</v>
      </c>
      <c r="O19">
        <f>$M$21+$M$22*Pc+$M$23*LN(Pc)</f>
        <v>6.4469954053591516E-2</v>
      </c>
      <c r="P19">
        <f>$M$21+$M$22*E12+$M$23*LN(E12)</f>
        <v>9.0668795721037282E-2</v>
      </c>
    </row>
    <row r="20" spans="2:16" ht="18" x14ac:dyDescent="0.25">
      <c r="L20" s="13" t="s">
        <v>48</v>
      </c>
      <c r="M20" s="12">
        <v>1.15E-2</v>
      </c>
      <c r="O20">
        <f>$M$24+$M$25*Pc+$M$26*LN(Pc)</f>
        <v>-2.4497671410593225E-2</v>
      </c>
      <c r="P20">
        <f>$M$24+$M$25*E12+$M$26*LN(E12)</f>
        <v>-4.2987153595549527E-2</v>
      </c>
    </row>
    <row r="21" spans="2:16" ht="18" x14ac:dyDescent="0.25">
      <c r="L21" s="13" t="s">
        <v>49</v>
      </c>
      <c r="M21" s="12">
        <v>-1.983E-2</v>
      </c>
    </row>
    <row r="22" spans="2:16" ht="18" x14ac:dyDescent="0.25">
      <c r="L22" s="13" t="s">
        <v>50</v>
      </c>
      <c r="M22" s="12">
        <v>6.3200000000000001E-3</v>
      </c>
    </row>
    <row r="23" spans="2:16" ht="18" x14ac:dyDescent="0.25">
      <c r="L23" s="13" t="s">
        <v>51</v>
      </c>
      <c r="M23" s="12">
        <v>-4.2790000000000002E-2</v>
      </c>
    </row>
    <row r="24" spans="2:16" ht="18" x14ac:dyDescent="0.25">
      <c r="L24" s="13" t="s">
        <v>52</v>
      </c>
      <c r="M24" s="12">
        <v>2.086E-2</v>
      </c>
    </row>
    <row r="25" spans="2:16" ht="18" x14ac:dyDescent="0.25">
      <c r="L25" s="13" t="s">
        <v>53</v>
      </c>
      <c r="M25" s="12">
        <v>-4.5900000000000003E-3</v>
      </c>
    </row>
    <row r="26" spans="2:16" ht="18" x14ac:dyDescent="0.25">
      <c r="L26" s="13" t="s">
        <v>54</v>
      </c>
      <c r="M26" s="12">
        <v>3.5439999999999999E-2</v>
      </c>
    </row>
    <row r="27" spans="2:16" x14ac:dyDescent="0.25">
      <c r="B27" s="11"/>
      <c r="C27" s="11" t="s">
        <v>58</v>
      </c>
      <c r="D27" s="11" t="s">
        <v>59</v>
      </c>
      <c r="E27" s="11" t="s">
        <v>60</v>
      </c>
    </row>
    <row r="28" spans="2:16" x14ac:dyDescent="0.25">
      <c r="B28" s="14" t="s">
        <v>61</v>
      </c>
      <c r="C28" s="12">
        <v>3.05</v>
      </c>
      <c r="D28" s="12">
        <v>0.09</v>
      </c>
      <c r="E28" s="12">
        <v>4.28</v>
      </c>
    </row>
    <row r="29" spans="2:16" x14ac:dyDescent="0.25">
      <c r="B29" s="14" t="s">
        <v>62</v>
      </c>
      <c r="C29" s="12">
        <v>5.44</v>
      </c>
      <c r="D29" s="12" t="s">
        <v>63</v>
      </c>
      <c r="E29" s="12">
        <v>7.79</v>
      </c>
    </row>
    <row r="30" spans="2:16" x14ac:dyDescent="0.25">
      <c r="B30" s="14" t="s">
        <v>64</v>
      </c>
      <c r="C30" s="12">
        <v>3.28</v>
      </c>
      <c r="D30" s="12">
        <v>4.5999999999999999E-2</v>
      </c>
      <c r="E30" s="12">
        <v>7.21</v>
      </c>
    </row>
    <row r="31" spans="2:16" ht="30" x14ac:dyDescent="0.25">
      <c r="B31" s="14" t="s">
        <v>65</v>
      </c>
      <c r="C31" s="12">
        <v>3.95</v>
      </c>
      <c r="D31" s="12" t="s">
        <v>66</v>
      </c>
      <c r="E31" s="12">
        <v>8.6300000000000008</v>
      </c>
    </row>
    <row r="32" spans="2:16" ht="30" x14ac:dyDescent="0.25">
      <c r="B32" s="14" t="s">
        <v>67</v>
      </c>
      <c r="C32" s="12">
        <v>3.47</v>
      </c>
      <c r="D32" s="12" t="s">
        <v>68</v>
      </c>
      <c r="E32" s="12">
        <v>7.87</v>
      </c>
    </row>
    <row r="33" spans="2:5" x14ac:dyDescent="0.25">
      <c r="B33" s="14" t="s">
        <v>69</v>
      </c>
      <c r="C33" s="12">
        <v>4.49</v>
      </c>
      <c r="D33" s="12">
        <v>2.298</v>
      </c>
      <c r="E33" s="12">
        <v>7.56</v>
      </c>
    </row>
    <row r="34" spans="2:5" ht="30" x14ac:dyDescent="0.25">
      <c r="B34" s="14" t="s">
        <v>70</v>
      </c>
      <c r="C34" s="12">
        <v>4.91</v>
      </c>
      <c r="D34" s="12">
        <v>3.3000000000000002E-2</v>
      </c>
      <c r="E34" s="12">
        <v>7.67</v>
      </c>
    </row>
    <row r="35" spans="2:5" ht="30" x14ac:dyDescent="0.25">
      <c r="B35" s="12" t="s">
        <v>71</v>
      </c>
      <c r="C35" s="12">
        <v>2.2799999999999998</v>
      </c>
      <c r="D35" s="12" t="s">
        <v>72</v>
      </c>
      <c r="E35" s="12">
        <v>3.61</v>
      </c>
    </row>
  </sheetData>
  <hyperlinks>
    <hyperlink ref="B28" r:id="rId1" location="b0110" display="http://www.sciencedirect.com/science/article/pii/S2090123213000386?np=y - b0110" xr:uid="{00000000-0004-0000-0300-000000000000}"/>
    <hyperlink ref="B29" r:id="rId2" location="b0100" display="http://www.sciencedirect.com/science/article/pii/S2090123213000386?np=y - b0100" xr:uid="{00000000-0004-0000-0300-000001000000}"/>
    <hyperlink ref="B30" r:id="rId3" location="b0105" display="http://www.sciencedirect.com/science/article/pii/S2090123213000386?np=y - b0105" xr:uid="{00000000-0004-0000-0300-000002000000}"/>
    <hyperlink ref="B31" r:id="rId4" location="b0065" display="http://www.sciencedirect.com/science/article/pii/S2090123213000386?np=y - b0065" xr:uid="{00000000-0004-0000-0300-000003000000}"/>
    <hyperlink ref="B32" r:id="rId5" location="b0075" display="http://www.sciencedirect.com/science/article/pii/S2090123213000386?np=y - b0075" xr:uid="{00000000-0004-0000-0300-000004000000}"/>
    <hyperlink ref="B33" r:id="rId6" location="b0085" display="http://www.sciencedirect.com/science/article/pii/S2090123213000386?np=y - b0085" xr:uid="{00000000-0004-0000-0300-000005000000}"/>
    <hyperlink ref="B34" r:id="rId7" location="b0095" display="http://www.sciencedirect.com/science/article/pii/S2090123213000386?np=y - b0095" xr:uid="{00000000-0004-0000-0300-000006000000}"/>
  </hyperlinks>
  <pageMargins left="0.7" right="0.7" top="0.75" bottom="0.75" header="0.3" footer="0.3"/>
  <drawing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U79"/>
  <sheetViews>
    <sheetView zoomScale="90" zoomScaleNormal="90" workbookViewId="0">
      <selection activeCell="H15" sqref="H15"/>
    </sheetView>
  </sheetViews>
  <sheetFormatPr defaultRowHeight="15" x14ac:dyDescent="0.25"/>
  <cols>
    <col min="1" max="1" width="18" customWidth="1"/>
    <col min="4" max="8" width="9.5703125" bestFit="1" customWidth="1"/>
    <col min="9" max="9" width="12.5703125" style="17" bestFit="1" customWidth="1"/>
    <col min="10" max="10" width="13.7109375" style="17" bestFit="1" customWidth="1"/>
    <col min="11" max="13" width="9.5703125" bestFit="1" customWidth="1"/>
    <col min="15" max="15" width="8.85546875" customWidth="1"/>
    <col min="18" max="18" width="10.140625" customWidth="1"/>
    <col min="21" max="21" width="11.28515625" style="15" customWidth="1"/>
  </cols>
  <sheetData>
    <row r="1" spans="1:21" x14ac:dyDescent="0.25">
      <c r="B1" s="15">
        <f>SUM(B5:B79)</f>
        <v>0.99999999999999845</v>
      </c>
      <c r="D1" s="16">
        <f>SUMPRODUCT(B5:B79,D5:D79)</f>
        <v>316.64402679026352</v>
      </c>
      <c r="E1" s="16">
        <f>SUMPRODUCT(B5:B79,E5:E79)</f>
        <v>26.569969156969904</v>
      </c>
      <c r="G1">
        <v>366.74</v>
      </c>
      <c r="H1">
        <f>Temp-273.15</f>
        <v>93.590000000000032</v>
      </c>
      <c r="I1" s="17" t="s">
        <v>74</v>
      </c>
      <c r="N1" t="s">
        <v>75</v>
      </c>
      <c r="O1" t="s">
        <v>76</v>
      </c>
    </row>
    <row r="2" spans="1:21" x14ac:dyDescent="0.25">
      <c r="D2" s="16">
        <f>D1+273.15</f>
        <v>589.7940267902635</v>
      </c>
      <c r="E2" s="16"/>
      <c r="G2">
        <v>6</v>
      </c>
      <c r="H2" t="s">
        <v>77</v>
      </c>
      <c r="N2" s="10">
        <f>SUMPRODUCT(K5:K79,B5:B79)</f>
        <v>0.49655959545190842</v>
      </c>
      <c r="O2" s="10">
        <f>SUMPRODUCT(M5:M79,B5:B79)</f>
        <v>3.1075584633840182E-2</v>
      </c>
      <c r="Q2" s="10">
        <f>CalcCompressibilityMin(N2,O2)</f>
        <v>3.6300619471749007E-2</v>
      </c>
      <c r="R2" s="10">
        <f>CalcCompressibilityMax(N2,O2)</f>
        <v>3.6300619471749007E-2</v>
      </c>
    </row>
    <row r="3" spans="1:21" x14ac:dyDescent="0.25">
      <c r="D3" s="16"/>
      <c r="E3" s="16"/>
      <c r="N3" s="10">
        <v>0.4</v>
      </c>
      <c r="O3" s="10">
        <f>O2</f>
        <v>3.1075584633840182E-2</v>
      </c>
      <c r="Q3" s="10">
        <f>CalcCompressibilityMin(N3,O3)</f>
        <v>3.8190674028858507E-2</v>
      </c>
      <c r="R3" s="10">
        <f>CalcCompressibilityMax(N3,O3)</f>
        <v>3.8190674028858507E-2</v>
      </c>
    </row>
    <row r="4" spans="1:21" x14ac:dyDescent="0.25">
      <c r="B4" t="s">
        <v>78</v>
      </c>
      <c r="D4" t="s">
        <v>79</v>
      </c>
      <c r="E4" t="s">
        <v>80</v>
      </c>
      <c r="F4" t="s">
        <v>81</v>
      </c>
      <c r="G4" t="s">
        <v>82</v>
      </c>
      <c r="H4" t="s">
        <v>83</v>
      </c>
      <c r="I4" s="17" t="s">
        <v>84</v>
      </c>
      <c r="J4" s="17" t="s">
        <v>85</v>
      </c>
      <c r="K4" t="s">
        <v>45</v>
      </c>
      <c r="L4" t="s">
        <v>86</v>
      </c>
      <c r="M4" t="s">
        <v>87</v>
      </c>
    </row>
    <row r="5" spans="1:21" x14ac:dyDescent="0.25">
      <c r="A5" t="s">
        <v>88</v>
      </c>
      <c r="B5">
        <v>8.7446225187304196E-4</v>
      </c>
      <c r="C5">
        <v>6.9924041628837599E-2</v>
      </c>
      <c r="D5" s="17">
        <v>-239.71029999999999</v>
      </c>
      <c r="E5" s="10">
        <v>13.1549997329712</v>
      </c>
      <c r="F5" s="10">
        <v>-0.12009000033140201</v>
      </c>
      <c r="G5" s="10">
        <f>0.37464 + 1.54226 * F5 - 0.26992 * F5^2</f>
        <v>0.18553731560905531</v>
      </c>
      <c r="H5" s="10">
        <f t="shared" ref="H5:H36" si="0">(1 + G5 * (1 - (Temp / (D5+273.15))^0.5))^2</f>
        <v>0.32615256016230942</v>
      </c>
      <c r="I5" s="17">
        <f>0.4572355289 * (8.3144 * (D5+273.15))^2 /E5</f>
        <v>2686.8022258560009</v>
      </c>
      <c r="J5" s="17">
        <f>I5*H5</f>
        <v>876.30742461272621</v>
      </c>
      <c r="K5" s="10">
        <f t="shared" ref="K5:K36" si="1">J5 * P / 8.314^2/ Temp^2</f>
        <v>5.6555017363610523E-4</v>
      </c>
      <c r="L5" s="10">
        <f>0.077796074 * 8.3144 * (D5+273.15) / E5</f>
        <v>1.6442207473879629</v>
      </c>
      <c r="M5" s="10">
        <f t="shared" ref="M5:M36" si="2">L5*P / 8.3144 / Temp</f>
        <v>3.2353567788081746E-3</v>
      </c>
      <c r="O5" s="18"/>
      <c r="Q5">
        <v>3.2353366439313502E-3</v>
      </c>
      <c r="R5" s="10">
        <f>Q5-M5</f>
        <v>-2.0134876824434017E-8</v>
      </c>
      <c r="T5" s="10">
        <f>CalcCompressibilityMin(K5,M5)</f>
        <v>1.2136903061523707E-3</v>
      </c>
      <c r="U5" s="15">
        <f>CalcCompressibilityMax(K5,M5)</f>
        <v>1.0026767356040813</v>
      </c>
    </row>
    <row r="6" spans="1:21" x14ac:dyDescent="0.25">
      <c r="A6" t="s">
        <v>89</v>
      </c>
      <c r="B6">
        <v>0</v>
      </c>
      <c r="C6">
        <v>0.80712360143661499</v>
      </c>
      <c r="D6" s="17">
        <v>-146.95599999999999</v>
      </c>
      <c r="E6" s="10">
        <v>33.943702697753899</v>
      </c>
      <c r="F6" s="10">
        <v>3.9999801665544503E-2</v>
      </c>
      <c r="G6" s="10">
        <f t="shared" ref="G6:G69" si="3">0.37464 + 1.54226 * F6 - 0.26992 * F6^2</f>
        <v>0.43589822639944692</v>
      </c>
      <c r="H6" s="10">
        <f t="shared" si="0"/>
        <v>0.47997500677951693</v>
      </c>
      <c r="I6" s="17">
        <f t="shared" ref="I6:I69" si="4">0.4572355289 * (8.3144 * (D6+273.15))^2 /E6</f>
        <v>14829.277628495787</v>
      </c>
      <c r="J6" s="17">
        <f t="shared" ref="J6:J69" si="5">I6*H6</f>
        <v>7117.682630272604</v>
      </c>
      <c r="K6" s="10">
        <f t="shared" si="1"/>
        <v>4.5936009833721795E-3</v>
      </c>
      <c r="L6" s="10">
        <f t="shared" ref="L6:L69" si="6">0.077796074 * 8.3144 * (D6+273.15) / E6</f>
        <v>2.4047397740357304</v>
      </c>
      <c r="M6" s="10">
        <f t="shared" si="2"/>
        <v>4.7318409900592006E-3</v>
      </c>
      <c r="O6" s="18"/>
      <c r="Q6">
        <v>4.7318115419822202E-3</v>
      </c>
      <c r="R6" s="10">
        <f t="shared" ref="R6:R69" si="7">Q6-M6</f>
        <v>-2.9448076980381765E-8</v>
      </c>
      <c r="T6" s="10">
        <f t="shared" ref="T6:T21" si="8">CalcCompressibilityMin(K6,M6)</f>
        <v>1.4944590768639632E-4</v>
      </c>
      <c r="U6" s="15">
        <f t="shared" ref="U6:U21" si="9">CalcCompressibilityMax(K6,M6)</f>
        <v>1.000203645949822</v>
      </c>
    </row>
    <row r="7" spans="1:21" x14ac:dyDescent="0.25">
      <c r="A7" t="s">
        <v>90</v>
      </c>
      <c r="B7">
        <v>0</v>
      </c>
      <c r="C7">
        <v>0.80013108253479004</v>
      </c>
      <c r="D7" s="17">
        <v>-140.20099999999999</v>
      </c>
      <c r="E7" s="10">
        <v>34.987499237060497</v>
      </c>
      <c r="F7" s="10">
        <v>9.3000002205371898E-2</v>
      </c>
      <c r="G7" s="10">
        <f t="shared" si="3"/>
        <v>0.51573564521053594</v>
      </c>
      <c r="H7" s="10">
        <f t="shared" si="0"/>
        <v>0.43449702906723686</v>
      </c>
      <c r="I7" s="17">
        <f t="shared" si="4"/>
        <v>15968.313339047838</v>
      </c>
      <c r="J7" s="17">
        <f t="shared" si="5"/>
        <v>6938.1847050310143</v>
      </c>
      <c r="K7" s="10">
        <f t="shared" si="1"/>
        <v>4.477756840168024E-3</v>
      </c>
      <c r="L7" s="10">
        <f t="shared" si="6"/>
        <v>2.45788052284896</v>
      </c>
      <c r="M7" s="10">
        <f t="shared" si="2"/>
        <v>4.8364068047023721E-3</v>
      </c>
      <c r="O7" s="18"/>
      <c r="Q7">
        <v>4.8363767058718704E-3</v>
      </c>
      <c r="R7" s="10">
        <f t="shared" si="7"/>
        <v>-3.0098830501763818E-8</v>
      </c>
      <c r="T7" s="10">
        <f t="shared" si="8"/>
        <v>3.3031098638658385E-4</v>
      </c>
      <c r="U7" s="15">
        <f>CalcCompressibilityMax(K7,M7)</f>
        <v>1.0004247409119573</v>
      </c>
    </row>
    <row r="8" spans="1:21" x14ac:dyDescent="0.25">
      <c r="A8" t="s">
        <v>91</v>
      </c>
      <c r="B8">
        <v>0</v>
      </c>
      <c r="C8">
        <v>1.13873755931854</v>
      </c>
      <c r="D8" s="17">
        <v>-118.38</v>
      </c>
      <c r="E8" s="10">
        <v>50.800201416015597</v>
      </c>
      <c r="F8" s="10">
        <v>1.8999900668859499E-2</v>
      </c>
      <c r="G8" s="10">
        <f t="shared" si="3"/>
        <v>0.4038453467043881</v>
      </c>
      <c r="H8" s="10">
        <f t="shared" si="0"/>
        <v>0.61181860107213426</v>
      </c>
      <c r="I8" s="17">
        <f t="shared" si="4"/>
        <v>14904.243210934979</v>
      </c>
      <c r="J8" s="17">
        <f t="shared" si="5"/>
        <v>9118.6932313530942</v>
      </c>
      <c r="K8" s="10">
        <f t="shared" si="1"/>
        <v>5.8850106657549212E-3</v>
      </c>
      <c r="L8" s="10">
        <f t="shared" si="6"/>
        <v>1.9706520226658732</v>
      </c>
      <c r="M8" s="10">
        <f t="shared" si="2"/>
        <v>3.8776802873535798E-3</v>
      </c>
      <c r="O8" s="18"/>
      <c r="Q8">
        <v>3.8776561550490801E-3</v>
      </c>
      <c r="R8" s="10">
        <f t="shared" si="7"/>
        <v>-2.4132304499765306E-8</v>
      </c>
      <c r="T8" s="10">
        <f>CalcCompressibilityMin(K8,M8)</f>
        <v>0.99804927837354862</v>
      </c>
      <c r="U8" s="15">
        <f>CalcCompressibilityMax(K8,M8)</f>
        <v>0.99804927837354862</v>
      </c>
    </row>
    <row r="9" spans="1:21" x14ac:dyDescent="0.25">
      <c r="A9" t="s">
        <v>92</v>
      </c>
      <c r="B9">
        <v>2.2152088487390198E-3</v>
      </c>
      <c r="C9">
        <v>0.29967230558395402</v>
      </c>
      <c r="D9" s="17">
        <v>-82.450999999999993</v>
      </c>
      <c r="E9" s="10">
        <v>46.406803131103501</v>
      </c>
      <c r="F9" s="10">
        <v>1.1498400010168599E-2</v>
      </c>
      <c r="G9" s="10">
        <f t="shared" si="3"/>
        <v>0.39233783541198447</v>
      </c>
      <c r="H9" s="10">
        <f t="shared" si="0"/>
        <v>0.71953633447476795</v>
      </c>
      <c r="I9" s="17">
        <f t="shared" si="4"/>
        <v>24769.485026992548</v>
      </c>
      <c r="J9" s="17">
        <f t="shared" si="5"/>
        <v>17822.544463149869</v>
      </c>
      <c r="K9" s="10">
        <f t="shared" si="1"/>
        <v>1.1502291128283148E-2</v>
      </c>
      <c r="L9" s="10">
        <f t="shared" si="6"/>
        <v>2.6580023397577901</v>
      </c>
      <c r="M9" s="10">
        <f t="shared" si="2"/>
        <v>5.2301893779681374E-3</v>
      </c>
      <c r="O9" s="18"/>
      <c r="Q9">
        <v>5.2301568284763497E-3</v>
      </c>
      <c r="R9" s="10">
        <f t="shared" si="7"/>
        <v>-3.2549491787645102E-8</v>
      </c>
      <c r="T9" s="10">
        <f>CalcCompressibilityMin(K9,M9)</f>
        <v>0.99383707828150925</v>
      </c>
      <c r="U9" s="15">
        <f t="shared" si="9"/>
        <v>0.99383707828150925</v>
      </c>
    </row>
    <row r="10" spans="1:21" x14ac:dyDescent="0.25">
      <c r="A10" t="s">
        <v>93</v>
      </c>
      <c r="B10">
        <v>0</v>
      </c>
      <c r="C10">
        <v>0.38358223438262901</v>
      </c>
      <c r="D10" s="17">
        <v>9.209009</v>
      </c>
      <c r="E10" s="10">
        <v>50.317901611328097</v>
      </c>
      <c r="F10" s="10">
        <v>8.5000000894069699E-2</v>
      </c>
      <c r="G10" s="10">
        <f t="shared" si="3"/>
        <v>0.50378192933786226</v>
      </c>
      <c r="H10" s="10">
        <f t="shared" si="0"/>
        <v>0.86422650644343624</v>
      </c>
      <c r="I10" s="17">
        <f t="shared" si="4"/>
        <v>50082.104980952434</v>
      </c>
      <c r="J10" s="17">
        <f t="shared" si="5"/>
        <v>43282.282623021936</v>
      </c>
      <c r="K10" s="10">
        <f t="shared" si="1"/>
        <v>2.7933464632728559E-2</v>
      </c>
      <c r="L10" s="10">
        <f t="shared" si="6"/>
        <v>3.6296748515107575</v>
      </c>
      <c r="M10" s="10">
        <f t="shared" si="2"/>
        <v>7.1421633344309031E-3</v>
      </c>
      <c r="O10" s="18"/>
      <c r="Q10">
        <v>7.1421188859855499E-3</v>
      </c>
      <c r="R10" s="10">
        <f t="shared" si="7"/>
        <v>-4.4448445353159616E-8</v>
      </c>
      <c r="T10" s="10">
        <f t="shared" si="8"/>
        <v>0.97922995081496911</v>
      </c>
      <c r="U10" s="15">
        <f t="shared" si="9"/>
        <v>0.97922995081496911</v>
      </c>
    </row>
    <row r="11" spans="1:21" x14ac:dyDescent="0.25">
      <c r="A11" t="s">
        <v>94</v>
      </c>
      <c r="B11">
        <v>1.42687733660729E-2</v>
      </c>
      <c r="C11">
        <v>0.35601365566253701</v>
      </c>
      <c r="D11" s="17">
        <v>32.278010000000002</v>
      </c>
      <c r="E11" s="10">
        <v>48.8385009765625</v>
      </c>
      <c r="F11" s="10">
        <v>9.8600000143051106E-2</v>
      </c>
      <c r="G11" s="10">
        <f t="shared" si="3"/>
        <v>0.52408268476980757</v>
      </c>
      <c r="H11" s="10">
        <f t="shared" si="0"/>
        <v>0.90212305870569687</v>
      </c>
      <c r="I11" s="17">
        <f t="shared" si="4"/>
        <v>60375.007473859689</v>
      </c>
      <c r="J11" s="17">
        <f t="shared" si="5"/>
        <v>54465.686411697614</v>
      </c>
      <c r="K11" s="10">
        <f t="shared" si="1"/>
        <v>3.5150995577788578E-2</v>
      </c>
      <c r="L11" s="10">
        <f t="shared" si="6"/>
        <v>4.0451546720718143</v>
      </c>
      <c r="M11" s="10">
        <f t="shared" si="2"/>
        <v>7.9597089444383672E-3</v>
      </c>
      <c r="O11" s="18"/>
      <c r="Q11">
        <v>7.9596594080904096E-3</v>
      </c>
      <c r="R11" s="10">
        <f t="shared" si="7"/>
        <v>-4.9536347957596094E-8</v>
      </c>
      <c r="T11" s="10">
        <f>CalcCompressibilityMin(K11,M11)</f>
        <v>0.97269243387607141</v>
      </c>
      <c r="U11" s="15">
        <f>CalcCompressibilityMax(K11,M11)</f>
        <v>0.97269243387607141</v>
      </c>
    </row>
    <row r="12" spans="1:21" x14ac:dyDescent="0.25">
      <c r="A12" t="s">
        <v>95</v>
      </c>
      <c r="B12">
        <v>0</v>
      </c>
      <c r="C12">
        <v>0.82610219717025801</v>
      </c>
      <c r="D12" s="17">
        <v>30.950009999999999</v>
      </c>
      <c r="E12" s="10">
        <v>73.699996948242202</v>
      </c>
      <c r="F12" s="10">
        <v>0.23894000053405801</v>
      </c>
      <c r="G12" s="10">
        <f t="shared" si="3"/>
        <v>0.72773724516865645</v>
      </c>
      <c r="H12" s="10">
        <f t="shared" si="0"/>
        <v>0.86221541800137502</v>
      </c>
      <c r="I12" s="17">
        <f t="shared" si="4"/>
        <v>39661.322981772457</v>
      </c>
      <c r="J12" s="17">
        <f t="shared" si="5"/>
        <v>34196.604173216481</v>
      </c>
      <c r="K12" s="10">
        <f t="shared" si="1"/>
        <v>2.2069761004792104E-2</v>
      </c>
      <c r="L12" s="10">
        <f t="shared" si="6"/>
        <v>2.6689323119582191</v>
      </c>
      <c r="M12" s="10">
        <f t="shared" si="2"/>
        <v>5.2516964412423475E-3</v>
      </c>
      <c r="O12" s="18"/>
      <c r="Q12">
        <v>5.2516637579037902E-3</v>
      </c>
      <c r="R12" s="10">
        <f t="shared" si="7"/>
        <v>-3.2683338557250308E-8</v>
      </c>
      <c r="T12" s="10">
        <f t="shared" si="8"/>
        <v>0.98315919543872377</v>
      </c>
      <c r="U12" s="15">
        <f t="shared" si="9"/>
        <v>0.98315919543872377</v>
      </c>
    </row>
    <row r="13" spans="1:21" x14ac:dyDescent="0.25">
      <c r="A13" t="s">
        <v>96</v>
      </c>
      <c r="B13">
        <v>8.3778313751280305E-4</v>
      </c>
      <c r="C13">
        <v>0.78914088010787997</v>
      </c>
      <c r="D13" s="17">
        <v>100.45</v>
      </c>
      <c r="E13" s="10">
        <v>90.077903747558594</v>
      </c>
      <c r="F13" s="10">
        <v>8.1000000238418607E-2</v>
      </c>
      <c r="G13" s="10">
        <f t="shared" si="3"/>
        <v>0.49779211523727812</v>
      </c>
      <c r="H13" s="10">
        <f t="shared" si="0"/>
        <v>1.0092038304295539</v>
      </c>
      <c r="I13" s="17">
        <f t="shared" si="4"/>
        <v>48977.573167222872</v>
      </c>
      <c r="J13" s="17">
        <f t="shared" si="5"/>
        <v>49428.354445505058</v>
      </c>
      <c r="K13" s="10">
        <f t="shared" si="1"/>
        <v>3.1900008665972875E-2</v>
      </c>
      <c r="L13" s="10">
        <f t="shared" si="6"/>
        <v>2.6827313949611953</v>
      </c>
      <c r="M13" s="10">
        <f t="shared" si="2"/>
        <v>5.2788490950486811E-3</v>
      </c>
      <c r="O13" s="18"/>
      <c r="Q13">
        <v>5.2788162427286501E-3</v>
      </c>
      <c r="R13" s="10">
        <f t="shared" si="7"/>
        <v>-3.2852320031029336E-8</v>
      </c>
      <c r="T13" s="10">
        <f t="shared" si="8"/>
        <v>0.97302127868628974</v>
      </c>
      <c r="U13" s="15">
        <f t="shared" si="9"/>
        <v>0.97302127868628974</v>
      </c>
    </row>
    <row r="14" spans="1:21" x14ac:dyDescent="0.25">
      <c r="A14" t="s">
        <v>97</v>
      </c>
      <c r="B14">
        <v>0</v>
      </c>
      <c r="C14">
        <v>0.52143925428390503</v>
      </c>
      <c r="D14" s="17">
        <v>91.85</v>
      </c>
      <c r="E14" s="10">
        <v>46.2041015625</v>
      </c>
      <c r="F14" s="10">
        <v>0.14800000190734899</v>
      </c>
      <c r="G14" s="10">
        <f t="shared" si="3"/>
        <v>0.59698215510923791</v>
      </c>
      <c r="H14" s="10">
        <f t="shared" si="0"/>
        <v>0.99715951603711472</v>
      </c>
      <c r="I14" s="17">
        <f t="shared" si="4"/>
        <v>91139.574563970469</v>
      </c>
      <c r="J14" s="17">
        <f t="shared" si="5"/>
        <v>90880.694064037321</v>
      </c>
      <c r="K14" s="10">
        <f t="shared" si="1"/>
        <v>5.865246700471656E-2</v>
      </c>
      <c r="L14" s="10">
        <f t="shared" si="6"/>
        <v>5.1097650287298348</v>
      </c>
      <c r="M14" s="10">
        <f t="shared" si="2"/>
        <v>1.0054558033087038E-2</v>
      </c>
      <c r="O14" s="18"/>
      <c r="Q14">
        <v>1.0054495459682801E-2</v>
      </c>
      <c r="R14" s="10">
        <f t="shared" si="7"/>
        <v>-6.2573404237611929E-8</v>
      </c>
      <c r="T14" s="10">
        <f t="shared" si="8"/>
        <v>0.95024305017513888</v>
      </c>
      <c r="U14" s="15">
        <f t="shared" si="9"/>
        <v>0.95024305017513888</v>
      </c>
    </row>
    <row r="15" spans="1:21" x14ac:dyDescent="0.25">
      <c r="A15" t="s">
        <v>35</v>
      </c>
      <c r="B15">
        <v>9.8635599627346603E-3</v>
      </c>
      <c r="C15">
        <v>0.50714898109436002</v>
      </c>
      <c r="D15" s="17">
        <v>96.748009999999994</v>
      </c>
      <c r="E15" s="10">
        <v>42.566600799560497</v>
      </c>
      <c r="F15" s="10">
        <v>0.152400001883507</v>
      </c>
      <c r="G15" s="10">
        <f t="shared" si="3"/>
        <v>0.60341132961069832</v>
      </c>
      <c r="H15" s="10">
        <f t="shared" si="0"/>
        <v>1.0051693396234143</v>
      </c>
      <c r="I15" s="17">
        <f t="shared" si="4"/>
        <v>101600.72737049976</v>
      </c>
      <c r="J15" s="17">
        <f t="shared" si="5"/>
        <v>102125.9360362638</v>
      </c>
      <c r="K15" s="10">
        <f t="shared" si="1"/>
        <v>6.5909906998202081E-2</v>
      </c>
      <c r="L15" s="10">
        <f t="shared" si="6"/>
        <v>5.6208451294494077</v>
      </c>
      <c r="M15" s="10">
        <f t="shared" si="2"/>
        <v>1.1060217687366342E-2</v>
      </c>
      <c r="O15" s="18"/>
      <c r="Q15">
        <v>1.1060148855353001E-2</v>
      </c>
      <c r="R15" s="10">
        <f t="shared" si="7"/>
        <v>-6.8832013340805465E-8</v>
      </c>
      <c r="T15" s="10">
        <f>CalcCompressibilityMin(K15,M15)</f>
        <v>0.94360178873678024</v>
      </c>
      <c r="U15" s="15">
        <f t="shared" si="9"/>
        <v>0.94360178873678024</v>
      </c>
    </row>
    <row r="16" spans="1:21" x14ac:dyDescent="0.25">
      <c r="A16" t="s">
        <v>98</v>
      </c>
      <c r="B16">
        <v>2.1073497481162801E-2</v>
      </c>
      <c r="C16">
        <v>0.56248837709426902</v>
      </c>
      <c r="D16" s="17">
        <v>134.946</v>
      </c>
      <c r="E16" s="10">
        <v>36.476200103759801</v>
      </c>
      <c r="F16" s="10">
        <v>0.18479000031948101</v>
      </c>
      <c r="G16" s="10">
        <f t="shared" si="3"/>
        <v>0.65041717474138028</v>
      </c>
      <c r="H16" s="10">
        <f t="shared" si="0"/>
        <v>1.0688177230617819</v>
      </c>
      <c r="I16" s="17">
        <f t="shared" si="4"/>
        <v>144316.79796332584</v>
      </c>
      <c r="J16" s="17">
        <f t="shared" si="5"/>
        <v>154248.35139872914</v>
      </c>
      <c r="K16" s="10">
        <f t="shared" si="1"/>
        <v>9.9548605279918517E-2</v>
      </c>
      <c r="L16" s="10">
        <f t="shared" si="6"/>
        <v>7.2367129030365218</v>
      </c>
      <c r="M16" s="10">
        <f t="shared" si="2"/>
        <v>1.4239783912423341E-2</v>
      </c>
      <c r="O16" s="18"/>
      <c r="Q16">
        <v>1.4239695292739401E-2</v>
      </c>
      <c r="R16" s="10">
        <f t="shared" si="7"/>
        <v>-8.8619683940097116E-8</v>
      </c>
      <c r="T16" s="10">
        <f t="shared" si="8"/>
        <v>2.7441083498677077E-2</v>
      </c>
      <c r="U16" s="15">
        <f t="shared" si="9"/>
        <v>0.90977596425182283</v>
      </c>
    </row>
    <row r="17" spans="1:21" x14ac:dyDescent="0.25">
      <c r="A17" t="s">
        <v>16</v>
      </c>
      <c r="B17">
        <v>1.3157995901151199E-2</v>
      </c>
      <c r="C17">
        <v>0.583765149116516</v>
      </c>
      <c r="D17" s="17">
        <v>152.04900000000001</v>
      </c>
      <c r="E17" s="10">
        <v>37.966201782226598</v>
      </c>
      <c r="F17" s="10">
        <v>0.20100000500678999</v>
      </c>
      <c r="G17" s="10">
        <f t="shared" si="3"/>
        <v>0.67372922925849588</v>
      </c>
      <c r="H17" s="10">
        <f t="shared" si="0"/>
        <v>1.0983584482680933</v>
      </c>
      <c r="I17" s="17">
        <f t="shared" si="4"/>
        <v>150518.23435718429</v>
      </c>
      <c r="J17" s="17">
        <f t="shared" si="5"/>
        <v>165322.97432461014</v>
      </c>
      <c r="K17" s="10">
        <f t="shared" si="1"/>
        <v>0.1066959313697943</v>
      </c>
      <c r="L17" s="10">
        <f t="shared" si="6"/>
        <v>7.244087340980407</v>
      </c>
      <c r="M17" s="10">
        <f t="shared" si="2"/>
        <v>1.4254294699876638E-2</v>
      </c>
      <c r="O17" s="18"/>
      <c r="Q17">
        <v>1.4254205989886399E-2</v>
      </c>
      <c r="R17" s="10">
        <f t="shared" si="7"/>
        <v>-8.8709990238994285E-8</v>
      </c>
      <c r="T17" s="10">
        <f t="shared" si="8"/>
        <v>2.4216806783220246E-2</v>
      </c>
      <c r="U17" s="15">
        <f t="shared" si="9"/>
        <v>0.90129010603194804</v>
      </c>
    </row>
    <row r="18" spans="1:21" x14ac:dyDescent="0.25">
      <c r="A18" t="s">
        <v>99</v>
      </c>
      <c r="B18">
        <v>3.13735119816922E-2</v>
      </c>
      <c r="C18">
        <v>0.62402153015136697</v>
      </c>
      <c r="D18" s="17">
        <v>187.24799999999999</v>
      </c>
      <c r="E18" s="10">
        <v>33.335899353027301</v>
      </c>
      <c r="F18" s="10">
        <v>0.222240000963211</v>
      </c>
      <c r="G18" s="10">
        <f t="shared" si="3"/>
        <v>0.70406034826736952</v>
      </c>
      <c r="H18" s="10">
        <f t="shared" si="0"/>
        <v>1.1570883412831308</v>
      </c>
      <c r="I18" s="17">
        <f t="shared" si="4"/>
        <v>200981.68287023329</v>
      </c>
      <c r="J18" s="17">
        <f t="shared" si="5"/>
        <v>232553.56206061045</v>
      </c>
      <c r="K18" s="10">
        <f t="shared" si="1"/>
        <v>0.15008512276521799</v>
      </c>
      <c r="L18" s="10">
        <f t="shared" si="6"/>
        <v>8.93325738682503</v>
      </c>
      <c r="M18" s="10">
        <f t="shared" si="2"/>
        <v>1.7578098858816376E-2</v>
      </c>
      <c r="O18" s="18"/>
      <c r="Q18">
        <v>1.7577989463507099E-2</v>
      </c>
      <c r="R18" s="10">
        <f t="shared" si="7"/>
        <v>-1.0939530927650543E-7</v>
      </c>
      <c r="T18" s="10">
        <f t="shared" si="8"/>
        <v>2.6096836269156376E-2</v>
      </c>
      <c r="U18" s="15">
        <f t="shared" si="9"/>
        <v>0.85178601897635842</v>
      </c>
    </row>
    <row r="19" spans="1:21" x14ac:dyDescent="0.25">
      <c r="A19" t="s">
        <v>100</v>
      </c>
      <c r="B19">
        <v>5.05743073019808E-2</v>
      </c>
      <c r="C19">
        <v>0.63031435012817405</v>
      </c>
      <c r="D19" s="17">
        <v>196.45</v>
      </c>
      <c r="E19" s="10">
        <v>33.7512016296387</v>
      </c>
      <c r="F19" s="10">
        <v>0.25389000773429898</v>
      </c>
      <c r="G19" s="10">
        <f t="shared" si="3"/>
        <v>0.74880532341180517</v>
      </c>
      <c r="H19" s="10">
        <f t="shared" si="0"/>
        <v>1.1817221735982766</v>
      </c>
      <c r="I19" s="17">
        <f t="shared" si="4"/>
        <v>206523.14734061281</v>
      </c>
      <c r="J19" s="17">
        <f t="shared" si="5"/>
        <v>244052.9825737061</v>
      </c>
      <c r="K19" s="10">
        <f t="shared" si="1"/>
        <v>0.15750660418284945</v>
      </c>
      <c r="L19" s="10">
        <f t="shared" si="6"/>
        <v>8.999687796745782</v>
      </c>
      <c r="M19" s="10">
        <f t="shared" si="2"/>
        <v>1.7708814930485917E-2</v>
      </c>
      <c r="O19" s="18"/>
      <c r="Q19">
        <v>1.7708704721679999E-2</v>
      </c>
      <c r="R19" s="10">
        <f t="shared" si="7"/>
        <v>-1.102088059180828E-7</v>
      </c>
      <c r="T19" s="10">
        <f t="shared" si="8"/>
        <v>2.5540770717508265E-2</v>
      </c>
      <c r="U19" s="15">
        <f t="shared" si="9"/>
        <v>0.84187323174337014</v>
      </c>
    </row>
    <row r="20" spans="1:21" x14ac:dyDescent="0.25">
      <c r="A20" t="s">
        <v>101</v>
      </c>
      <c r="B20">
        <v>6.1140900218482604E-4</v>
      </c>
      <c r="C20">
        <v>0.61504897094179101</v>
      </c>
      <c r="D20" s="17">
        <v>195.58880079934701</v>
      </c>
      <c r="E20" s="10">
        <v>30.253550081558199</v>
      </c>
      <c r="F20" s="10">
        <v>0.241545828754713</v>
      </c>
      <c r="G20" s="10">
        <f t="shared" si="3"/>
        <v>0.73141815281125844</v>
      </c>
      <c r="H20" s="10">
        <f t="shared" si="0"/>
        <v>1.1760430469356904</v>
      </c>
      <c r="I20" s="17">
        <f t="shared" si="4"/>
        <v>229555.26769680716</v>
      </c>
      <c r="J20" s="17">
        <f t="shared" si="5"/>
        <v>269966.87646229117</v>
      </c>
      <c r="K20" s="10">
        <f t="shared" si="1"/>
        <v>0.17423088013515439</v>
      </c>
      <c r="L20" s="10">
        <f t="shared" si="6"/>
        <v>10.021740560543963</v>
      </c>
      <c r="M20" s="10">
        <f t="shared" si="2"/>
        <v>1.9719922832455383E-2</v>
      </c>
      <c r="O20" s="18"/>
      <c r="Q20">
        <v>1.9719800107747001E-2</v>
      </c>
      <c r="R20" s="10">
        <f t="shared" si="7"/>
        <v>-1.2272470838181615E-7</v>
      </c>
      <c r="T20" s="10">
        <f t="shared" si="8"/>
        <v>2.855070251668762E-2</v>
      </c>
      <c r="U20" s="15">
        <f t="shared" si="9"/>
        <v>0.82226811469687933</v>
      </c>
    </row>
    <row r="21" spans="1:21" x14ac:dyDescent="0.25">
      <c r="A21" t="s">
        <v>102</v>
      </c>
      <c r="B21">
        <v>1.00225092424557E-2</v>
      </c>
      <c r="C21">
        <v>0.63180617231481395</v>
      </c>
      <c r="D21" s="17">
        <v>205.298527536222</v>
      </c>
      <c r="E21" s="10">
        <v>30.6932236262078</v>
      </c>
      <c r="F21" s="10">
        <v>0.25320742750877601</v>
      </c>
      <c r="G21" s="10">
        <f t="shared" si="3"/>
        <v>0.74784603590647725</v>
      </c>
      <c r="H21" s="10">
        <f t="shared" si="0"/>
        <v>1.1948648170882759</v>
      </c>
      <c r="I21" s="17">
        <f t="shared" si="4"/>
        <v>235738.07833463079</v>
      </c>
      <c r="J21" s="17">
        <f t="shared" si="5"/>
        <v>281675.13585005025</v>
      </c>
      <c r="K21" s="10">
        <f t="shared" si="1"/>
        <v>0.18178714172069335</v>
      </c>
      <c r="L21" s="10">
        <f t="shared" si="6"/>
        <v>10.082803739276581</v>
      </c>
      <c r="M21" s="10">
        <f t="shared" si="2"/>
        <v>1.984007772623227E-2</v>
      </c>
      <c r="O21" s="18"/>
      <c r="Q21">
        <v>1.98399542537534E-2</v>
      </c>
      <c r="R21" s="10">
        <f t="shared" si="7"/>
        <v>-1.2347247886970725E-7</v>
      </c>
      <c r="T21" s="10">
        <f t="shared" si="8"/>
        <v>2.8065609231195443E-2</v>
      </c>
      <c r="U21" s="15">
        <f t="shared" si="9"/>
        <v>0.81133196374854211</v>
      </c>
    </row>
    <row r="22" spans="1:21" x14ac:dyDescent="0.25">
      <c r="A22" t="s">
        <v>103</v>
      </c>
      <c r="B22">
        <v>2.5014953631554999E-2</v>
      </c>
      <c r="C22">
        <v>0.655153540807766</v>
      </c>
      <c r="D22" s="17">
        <v>219.25333702875199</v>
      </c>
      <c r="E22" s="10">
        <v>31.2021371032316</v>
      </c>
      <c r="F22" s="10">
        <v>0.26746953843840798</v>
      </c>
      <c r="G22" s="10">
        <f t="shared" si="3"/>
        <v>0.76783750597037548</v>
      </c>
      <c r="H22" s="10">
        <f t="shared" si="0"/>
        <v>1.221426721337066</v>
      </c>
      <c r="I22" s="17">
        <f t="shared" si="4"/>
        <v>245617.57093793261</v>
      </c>
      <c r="J22" s="17">
        <f t="shared" si="5"/>
        <v>300003.86437349324</v>
      </c>
      <c r="K22" s="10">
        <f t="shared" si="1"/>
        <v>0.19361611327544564</v>
      </c>
      <c r="L22" s="10">
        <f t="shared" si="6"/>
        <v>10.207637570187856</v>
      </c>
      <c r="M22" s="10">
        <f t="shared" si="2"/>
        <v>2.0085715048170336E-2</v>
      </c>
      <c r="O22" s="18"/>
      <c r="Q22">
        <v>2.0085590046995502E-2</v>
      </c>
      <c r="R22" s="10">
        <f t="shared" si="7"/>
        <v>-1.2500117483466022E-7</v>
      </c>
      <c r="T22" s="10">
        <f t="shared" ref="T22:T79" si="10">CalcCompressibilityMin(K22,M22)</f>
        <v>2.7611402340385782E-2</v>
      </c>
      <c r="U22" s="15">
        <f t="shared" ref="U22:U79" si="11">CalcCompressibilityMax(K22,M22)</f>
        <v>0.79361047451645605</v>
      </c>
    </row>
    <row r="23" spans="1:21" x14ac:dyDescent="0.25">
      <c r="A23" t="s">
        <v>104</v>
      </c>
      <c r="B23">
        <v>1.9091723861551099E-2</v>
      </c>
      <c r="C23">
        <v>0.67719178172532501</v>
      </c>
      <c r="D23" s="17">
        <v>233.15586577472101</v>
      </c>
      <c r="E23" s="10">
        <v>31.523310819929002</v>
      </c>
      <c r="F23" s="10">
        <v>0.27960480909208302</v>
      </c>
      <c r="G23" s="10">
        <f t="shared" si="3"/>
        <v>0.78476127787609373</v>
      </c>
      <c r="H23" s="10">
        <f t="shared" si="0"/>
        <v>1.2473832943211911</v>
      </c>
      <c r="I23" s="17">
        <f t="shared" si="4"/>
        <v>257037.14667953813</v>
      </c>
      <c r="J23" s="17">
        <f t="shared" si="5"/>
        <v>320623.84278804145</v>
      </c>
      <c r="K23" s="10">
        <f t="shared" si="1"/>
        <v>0.20692380877725453</v>
      </c>
      <c r="L23" s="10">
        <f t="shared" si="6"/>
        <v>10.388903919968117</v>
      </c>
      <c r="M23" s="10">
        <f t="shared" si="2"/>
        <v>2.0442395447966437E-2</v>
      </c>
      <c r="O23" s="18"/>
      <c r="Q23">
        <v>2.04422682270314E-2</v>
      </c>
      <c r="R23" s="10">
        <f t="shared" si="7"/>
        <v>-1.2722093503669818E-7</v>
      </c>
      <c r="T23" s="10">
        <f t="shared" si="10"/>
        <v>2.7429184498280246E-2</v>
      </c>
      <c r="U23" s="15">
        <f t="shared" si="11"/>
        <v>0.77265803140867162</v>
      </c>
    </row>
    <row r="24" spans="1:21" x14ac:dyDescent="0.25">
      <c r="A24" t="s">
        <v>105</v>
      </c>
      <c r="B24">
        <v>2.0658053765589199E-2</v>
      </c>
      <c r="C24">
        <v>0.69723949921426498</v>
      </c>
      <c r="D24" s="17">
        <v>246.81760457360301</v>
      </c>
      <c r="E24" s="10">
        <v>31.611672248298699</v>
      </c>
      <c r="F24" s="10">
        <v>0.29055359346197801</v>
      </c>
      <c r="G24" s="10">
        <f t="shared" si="3"/>
        <v>0.79996216328203373</v>
      </c>
      <c r="H24" s="10">
        <f t="shared" si="0"/>
        <v>1.272678512539841</v>
      </c>
      <c r="I24" s="17">
        <f t="shared" si="4"/>
        <v>270337.87820686318</v>
      </c>
      <c r="J24" s="17">
        <f t="shared" si="5"/>
        <v>344053.20871948736</v>
      </c>
      <c r="K24" s="10">
        <f t="shared" si="1"/>
        <v>0.22204462322952165</v>
      </c>
      <c r="L24" s="10">
        <f t="shared" si="6"/>
        <v>10.63940671932626</v>
      </c>
      <c r="M24" s="10">
        <f t="shared" si="2"/>
        <v>2.0935313403965539E-2</v>
      </c>
      <c r="O24" s="18"/>
      <c r="Q24">
        <v>2.0935183115411399E-2</v>
      </c>
      <c r="R24" s="10">
        <f t="shared" si="7"/>
        <v>-1.3028855413987905E-7</v>
      </c>
      <c r="T24" s="10">
        <f t="shared" si="10"/>
        <v>2.7516543070204791E-2</v>
      </c>
      <c r="U24" s="15">
        <f t="shared" si="11"/>
        <v>0.74722415641374207</v>
      </c>
    </row>
    <row r="25" spans="1:21" x14ac:dyDescent="0.25">
      <c r="A25" t="s">
        <v>106</v>
      </c>
      <c r="B25">
        <v>3.7632400297696003E-2</v>
      </c>
      <c r="C25">
        <v>0.71461529742136098</v>
      </c>
      <c r="D25" s="17">
        <v>260.02998116710199</v>
      </c>
      <c r="E25" s="10">
        <v>31.429154569969601</v>
      </c>
      <c r="F25" s="10">
        <v>0.30136089442443298</v>
      </c>
      <c r="G25" s="10">
        <f t="shared" si="3"/>
        <v>0.81490315356028153</v>
      </c>
      <c r="H25" s="10">
        <f t="shared" si="0"/>
        <v>1.2974495202943674</v>
      </c>
      <c r="I25" s="17">
        <f t="shared" si="4"/>
        <v>285901.72058793018</v>
      </c>
      <c r="J25" s="17">
        <f t="shared" si="5"/>
        <v>370943.05022814428</v>
      </c>
      <c r="K25" s="10">
        <f t="shared" si="1"/>
        <v>0.23939875501836169</v>
      </c>
      <c r="L25" s="10">
        <f t="shared" si="6"/>
        <v>10.973109958408864</v>
      </c>
      <c r="M25" s="10">
        <f t="shared" si="2"/>
        <v>2.159194606012883E-2</v>
      </c>
      <c r="O25" s="18"/>
      <c r="Q25">
        <v>2.1591811685095601E-2</v>
      </c>
      <c r="R25" s="10">
        <f t="shared" si="7"/>
        <v>-1.3437503322902278E-7</v>
      </c>
      <c r="T25" s="10">
        <f t="shared" si="10"/>
        <v>2.7881193497449441E-2</v>
      </c>
      <c r="U25" s="15">
        <f t="shared" si="11"/>
        <v>0.71518201001868409</v>
      </c>
    </row>
    <row r="26" spans="1:21" x14ac:dyDescent="0.25">
      <c r="A26" t="s">
        <v>107</v>
      </c>
      <c r="B26">
        <v>3.93995130689309E-2</v>
      </c>
      <c r="C26">
        <v>0.72863778049338601</v>
      </c>
      <c r="D26" s="17">
        <v>272.56665050438198</v>
      </c>
      <c r="E26" s="10">
        <v>30.943221941607099</v>
      </c>
      <c r="F26" s="10">
        <v>0.31311924772425898</v>
      </c>
      <c r="G26" s="10">
        <f t="shared" si="3"/>
        <v>0.83108734539851969</v>
      </c>
      <c r="H26" s="10">
        <f t="shared" si="0"/>
        <v>1.3219971645036626</v>
      </c>
      <c r="I26" s="17">
        <f t="shared" si="4"/>
        <v>304208.03111303906</v>
      </c>
      <c r="J26" s="17">
        <f t="shared" si="5"/>
        <v>402162.15455067961</v>
      </c>
      <c r="K26" s="10">
        <f t="shared" si="1"/>
        <v>0.25954690094805799</v>
      </c>
      <c r="L26" s="10">
        <f t="shared" si="6"/>
        <v>11.407494487009657</v>
      </c>
      <c r="M26" s="10">
        <f t="shared" si="2"/>
        <v>2.2446690735654053E-2</v>
      </c>
      <c r="O26" s="18"/>
      <c r="Q26">
        <v>2.24465510412141E-2</v>
      </c>
      <c r="R26" s="10">
        <f t="shared" si="7"/>
        <v>-1.39694439953153E-7</v>
      </c>
      <c r="T26" s="10">
        <f t="shared" si="10"/>
        <v>2.8544600592834868E-2</v>
      </c>
      <c r="U26" s="15">
        <f t="shared" si="11"/>
        <v>0.67224534434525984</v>
      </c>
    </row>
    <row r="27" spans="1:21" x14ac:dyDescent="0.25">
      <c r="A27" t="s">
        <v>108</v>
      </c>
      <c r="B27">
        <v>6.5702074529029098E-2</v>
      </c>
      <c r="C27">
        <v>0.73862555257711504</v>
      </c>
      <c r="D27" s="17">
        <v>284.18542161732501</v>
      </c>
      <c r="E27" s="10">
        <v>30.1256931109654</v>
      </c>
      <c r="F27" s="10">
        <v>0.32693899700337897</v>
      </c>
      <c r="G27" s="10">
        <f t="shared" si="3"/>
        <v>0.85001342955142678</v>
      </c>
      <c r="H27" s="10">
        <f t="shared" si="0"/>
        <v>1.346745968881357</v>
      </c>
      <c r="I27" s="17">
        <f t="shared" si="4"/>
        <v>325910.26660969836</v>
      </c>
      <c r="J27" s="17">
        <f t="shared" si="5"/>
        <v>438918.33777365962</v>
      </c>
      <c r="K27" s="10">
        <f t="shared" si="1"/>
        <v>0.28326855983180371</v>
      </c>
      <c r="L27" s="10">
        <f t="shared" si="6"/>
        <v>11.966528873464975</v>
      </c>
      <c r="M27" s="10">
        <f t="shared" si="2"/>
        <v>2.3546710726691379E-2</v>
      </c>
      <c r="O27" s="18"/>
      <c r="Q27">
        <v>2.3546564186401501E-2</v>
      </c>
      <c r="R27" s="10">
        <f t="shared" si="7"/>
        <v>-1.465402898782886E-7</v>
      </c>
      <c r="T27" s="10">
        <f t="shared" si="10"/>
        <v>2.9547517585455207E-2</v>
      </c>
      <c r="U27" s="15">
        <f t="shared" si="11"/>
        <v>0.6062103882096187</v>
      </c>
    </row>
    <row r="28" spans="1:21" x14ac:dyDescent="0.25">
      <c r="A28" t="s">
        <v>109</v>
      </c>
      <c r="B28">
        <v>2.28743784026385E-2</v>
      </c>
      <c r="C28">
        <v>0.74389721781932305</v>
      </c>
      <c r="D28" s="17">
        <v>294.629886640547</v>
      </c>
      <c r="E28" s="10">
        <v>28.952301006804699</v>
      </c>
      <c r="F28" s="10">
        <v>0.34394109979961301</v>
      </c>
      <c r="G28" s="10">
        <f t="shared" si="3"/>
        <v>0.87315628457989247</v>
      </c>
      <c r="H28" s="10">
        <f t="shared" si="0"/>
        <v>1.3721975997661235</v>
      </c>
      <c r="I28" s="17">
        <f t="shared" si="4"/>
        <v>351948.17706211883</v>
      </c>
      <c r="J28" s="17">
        <f t="shared" si="5"/>
        <v>482942.4438067021</v>
      </c>
      <c r="K28" s="10">
        <f t="shared" si="1"/>
        <v>0.31168078151549516</v>
      </c>
      <c r="L28" s="10">
        <f t="shared" si="6"/>
        <v>12.68485518351809</v>
      </c>
      <c r="M28" s="10">
        <f t="shared" si="2"/>
        <v>2.4960171723530527E-2</v>
      </c>
      <c r="O28" s="18"/>
      <c r="Q28">
        <v>2.4960016386726101E-2</v>
      </c>
      <c r="R28" s="10">
        <f t="shared" si="7"/>
        <v>-1.5533680442630926E-7</v>
      </c>
      <c r="T28" s="10">
        <f t="shared" si="10"/>
        <v>3.0958656805661289E-2</v>
      </c>
      <c r="U28" s="15">
        <f t="shared" si="11"/>
        <v>3.0958656805661289E-2</v>
      </c>
    </row>
    <row r="29" spans="1:21" x14ac:dyDescent="0.25">
      <c r="A29" t="s">
        <v>110</v>
      </c>
      <c r="B29">
        <v>5.5733825292512099E-2</v>
      </c>
      <c r="C29">
        <v>0.74538989143344203</v>
      </c>
      <c r="D29" s="17">
        <v>304.02644641511603</v>
      </c>
      <c r="E29" s="10">
        <v>27.5356686198609</v>
      </c>
      <c r="F29" s="10">
        <v>0.364105856038203</v>
      </c>
      <c r="G29" s="10">
        <f t="shared" si="3"/>
        <v>0.90040177329107662</v>
      </c>
      <c r="H29" s="10">
        <f t="shared" si="0"/>
        <v>1.3987122006761772</v>
      </c>
      <c r="I29" s="17">
        <f t="shared" si="4"/>
        <v>382404.83204303926</v>
      </c>
      <c r="J29" s="17">
        <f t="shared" si="5"/>
        <v>534874.30417612335</v>
      </c>
      <c r="K29" s="10">
        <f t="shared" si="1"/>
        <v>0.34519649965762078</v>
      </c>
      <c r="L29" s="10">
        <f t="shared" si="6"/>
        <v>13.558185406425737</v>
      </c>
      <c r="M29" s="10">
        <f t="shared" si="2"/>
        <v>2.6678636145847916E-2</v>
      </c>
      <c r="O29" s="18"/>
      <c r="Q29">
        <v>2.6678470114374499E-2</v>
      </c>
      <c r="R29" s="10">
        <f t="shared" si="7"/>
        <v>-1.6603147341698321E-7</v>
      </c>
      <c r="T29" s="10">
        <f t="shared" si="10"/>
        <v>3.2748472557420971E-2</v>
      </c>
      <c r="U29" s="15">
        <f t="shared" si="11"/>
        <v>3.2748472557420971E-2</v>
      </c>
    </row>
    <row r="30" spans="1:21" x14ac:dyDescent="0.25">
      <c r="A30" t="s">
        <v>111</v>
      </c>
      <c r="B30">
        <v>4.2431377609925998E-2</v>
      </c>
      <c r="C30">
        <v>0.75097134391153497</v>
      </c>
      <c r="D30" s="17">
        <v>314.28282882220901</v>
      </c>
      <c r="E30" s="10">
        <v>26.523679671882501</v>
      </c>
      <c r="F30" s="10">
        <v>0.38191354445757097</v>
      </c>
      <c r="G30" s="10">
        <f t="shared" si="3"/>
        <v>0.92428000374272945</v>
      </c>
      <c r="H30" s="10">
        <f t="shared" si="0"/>
        <v>1.4255790523041154</v>
      </c>
      <c r="I30" s="17">
        <f t="shared" si="4"/>
        <v>411229.6789135806</v>
      </c>
      <c r="J30" s="17">
        <f t="shared" si="5"/>
        <v>586240.41594494786</v>
      </c>
      <c r="K30" s="10">
        <f t="shared" si="1"/>
        <v>0.37834709568584529</v>
      </c>
      <c r="L30" s="10">
        <f t="shared" si="6"/>
        <v>14.325607048195639</v>
      </c>
      <c r="M30" s="10">
        <f t="shared" si="2"/>
        <v>2.8188702732009598E-2</v>
      </c>
      <c r="O30" s="18"/>
      <c r="Q30">
        <v>2.8188527302807801E-2</v>
      </c>
      <c r="R30" s="10">
        <f t="shared" si="7"/>
        <v>-1.7542920179719479E-7</v>
      </c>
      <c r="T30" s="10">
        <f t="shared" si="10"/>
        <v>3.4258239170894655E-2</v>
      </c>
      <c r="U30" s="15">
        <f t="shared" si="11"/>
        <v>3.4258239170894655E-2</v>
      </c>
    </row>
    <row r="31" spans="1:21" x14ac:dyDescent="0.25">
      <c r="A31" t="s">
        <v>112</v>
      </c>
      <c r="B31">
        <v>5.2339895282179798E-2</v>
      </c>
      <c r="C31">
        <v>0.76004398077925495</v>
      </c>
      <c r="D31" s="17">
        <v>325.34352469860403</v>
      </c>
      <c r="E31" s="10">
        <v>25.8351521492276</v>
      </c>
      <c r="F31" s="10">
        <v>0.397247464190641</v>
      </c>
      <c r="G31" s="10">
        <f t="shared" si="3"/>
        <v>0.94470400065889082</v>
      </c>
      <c r="H31" s="10">
        <f t="shared" si="0"/>
        <v>1.4524879997831657</v>
      </c>
      <c r="I31" s="17">
        <f t="shared" si="4"/>
        <v>438237.65025856177</v>
      </c>
      <c r="J31" s="17">
        <f t="shared" si="5"/>
        <v>636534.92805373296</v>
      </c>
      <c r="K31" s="10">
        <f t="shared" si="1"/>
        <v>0.41080610408536578</v>
      </c>
      <c r="L31" s="10">
        <f t="shared" si="6"/>
        <v>14.984319598453432</v>
      </c>
      <c r="M31" s="10">
        <f t="shared" si="2"/>
        <v>2.9484860877531223E-2</v>
      </c>
      <c r="O31" s="18"/>
      <c r="Q31">
        <v>2.94846773818358E-2</v>
      </c>
      <c r="R31" s="10">
        <f t="shared" si="7"/>
        <v>-1.8349569542303046E-7</v>
      </c>
      <c r="T31" s="10">
        <f t="shared" si="10"/>
        <v>3.5494082220600465E-2</v>
      </c>
      <c r="U31" s="15">
        <f t="shared" si="11"/>
        <v>3.5494082220600465E-2</v>
      </c>
    </row>
    <row r="32" spans="1:21" x14ac:dyDescent="0.25">
      <c r="A32" t="s">
        <v>113</v>
      </c>
      <c r="B32">
        <v>4.5342883971812201E-2</v>
      </c>
      <c r="C32">
        <v>0.77054380866630501</v>
      </c>
      <c r="D32" s="17">
        <v>336.73924414095399</v>
      </c>
      <c r="E32" s="10">
        <v>25.289904909929501</v>
      </c>
      <c r="F32" s="10">
        <v>0.41136779205350399</v>
      </c>
      <c r="G32" s="10">
        <f t="shared" si="3"/>
        <v>0.96339929455774087</v>
      </c>
      <c r="H32" s="10">
        <f t="shared" si="0"/>
        <v>1.4794624753077297</v>
      </c>
      <c r="I32" s="17">
        <f t="shared" si="4"/>
        <v>464896.79280171852</v>
      </c>
      <c r="J32" s="17">
        <f t="shared" si="5"/>
        <v>687797.35984105524</v>
      </c>
      <c r="K32" s="10">
        <f t="shared" si="1"/>
        <v>0.44388978725870137</v>
      </c>
      <c r="L32" s="10">
        <f t="shared" si="6"/>
        <v>15.598842495688178</v>
      </c>
      <c r="M32" s="10">
        <f t="shared" si="2"/>
        <v>3.0694066408150981E-2</v>
      </c>
      <c r="O32" s="18"/>
      <c r="Q32">
        <v>3.06938753871017E-2</v>
      </c>
      <c r="R32" s="10">
        <f t="shared" si="7"/>
        <v>-1.9102104928045427E-7</v>
      </c>
      <c r="T32" s="10">
        <f t="shared" si="10"/>
        <v>3.6622510889500193E-2</v>
      </c>
      <c r="U32" s="15">
        <f t="shared" si="11"/>
        <v>3.6622510889500193E-2</v>
      </c>
    </row>
    <row r="33" spans="1:21" x14ac:dyDescent="0.25">
      <c r="A33" t="s">
        <v>114</v>
      </c>
      <c r="B33">
        <v>4.6608396406615703E-2</v>
      </c>
      <c r="C33">
        <v>0.78040683420238899</v>
      </c>
      <c r="D33" s="17">
        <v>347.94059315778799</v>
      </c>
      <c r="E33" s="10">
        <v>24.727339548921499</v>
      </c>
      <c r="F33" s="10">
        <v>0.42594574264264601</v>
      </c>
      <c r="G33" s="10">
        <f t="shared" si="3"/>
        <v>0.98258755599774439</v>
      </c>
      <c r="H33" s="10">
        <f t="shared" si="0"/>
        <v>1.5068603500522235</v>
      </c>
      <c r="I33" s="17">
        <f t="shared" si="4"/>
        <v>493099.21212393919</v>
      </c>
      <c r="J33" s="17">
        <f t="shared" si="5"/>
        <v>743031.65139155462</v>
      </c>
      <c r="K33" s="10">
        <f t="shared" si="1"/>
        <v>0.47953682424558686</v>
      </c>
      <c r="L33" s="10">
        <f t="shared" si="6"/>
        <v>16.24673714684862</v>
      </c>
      <c r="M33" s="10">
        <f t="shared" si="2"/>
        <v>3.1968938018252915E-2</v>
      </c>
      <c r="O33" s="18"/>
      <c r="Q33">
        <v>3.1968739063184398E-2</v>
      </c>
      <c r="R33" s="10">
        <f t="shared" si="7"/>
        <v>-1.9895506851719258E-7</v>
      </c>
      <c r="T33" s="10">
        <f t="shared" si="10"/>
        <v>3.7832026893084458E-2</v>
      </c>
      <c r="U33" s="15">
        <f t="shared" si="11"/>
        <v>3.7832026893084458E-2</v>
      </c>
    </row>
    <row r="34" spans="1:21" x14ac:dyDescent="0.25">
      <c r="A34" t="s">
        <v>115</v>
      </c>
      <c r="B34">
        <v>4.0920018808767E-2</v>
      </c>
      <c r="C34">
        <v>0.78756906401721005</v>
      </c>
      <c r="D34" s="17">
        <v>358.36369807821802</v>
      </c>
      <c r="E34" s="10">
        <v>24.002874914160799</v>
      </c>
      <c r="F34" s="10">
        <v>0.443030610976689</v>
      </c>
      <c r="G34" s="10">
        <f t="shared" si="3"/>
        <v>1.0049295391638471</v>
      </c>
      <c r="H34" s="10">
        <f t="shared" si="0"/>
        <v>1.5354070423962629</v>
      </c>
      <c r="I34" s="17">
        <f t="shared" si="4"/>
        <v>525175.05115820316</v>
      </c>
      <c r="J34" s="17">
        <f t="shared" si="5"/>
        <v>806357.47203912283</v>
      </c>
      <c r="K34" s="10">
        <f t="shared" si="1"/>
        <v>0.52040596201274492</v>
      </c>
      <c r="L34" s="10">
        <f t="shared" si="6"/>
        <v>17.017983895794099</v>
      </c>
      <c r="M34" s="10">
        <f t="shared" si="2"/>
        <v>3.3486531322739869E-2</v>
      </c>
      <c r="O34" s="18"/>
      <c r="Q34">
        <v>3.3486322923101199E-2</v>
      </c>
      <c r="R34" s="10">
        <f t="shared" si="7"/>
        <v>-2.0839963867091971E-7</v>
      </c>
      <c r="T34" s="10">
        <f t="shared" si="10"/>
        <v>3.9331841495412523E-2</v>
      </c>
      <c r="U34" s="15">
        <f t="shared" si="11"/>
        <v>3.9331841495412523E-2</v>
      </c>
    </row>
    <row r="35" spans="1:21" x14ac:dyDescent="0.25">
      <c r="A35" t="s">
        <v>116</v>
      </c>
      <c r="B35">
        <v>4.34573986709011E-2</v>
      </c>
      <c r="C35">
        <v>0.79003089218769595</v>
      </c>
      <c r="D35" s="17">
        <v>367.39341879591001</v>
      </c>
      <c r="E35" s="10">
        <v>22.991460517287699</v>
      </c>
      <c r="F35" s="10">
        <v>0.46495169913288098</v>
      </c>
      <c r="G35" s="10">
        <f t="shared" si="3"/>
        <v>1.0333650796291098</v>
      </c>
      <c r="H35" s="10">
        <f t="shared" si="0"/>
        <v>1.5661314005484195</v>
      </c>
      <c r="I35" s="17">
        <f t="shared" si="4"/>
        <v>564069.19719928049</v>
      </c>
      <c r="J35" s="17">
        <f t="shared" si="5"/>
        <v>883406.48181593174</v>
      </c>
      <c r="K35" s="10">
        <f t="shared" si="1"/>
        <v>0.57013175416499307</v>
      </c>
      <c r="L35" s="10">
        <f t="shared" si="6"/>
        <v>18.02065648296708</v>
      </c>
      <c r="M35" s="10">
        <f t="shared" si="2"/>
        <v>3.5459504572827316E-2</v>
      </c>
      <c r="O35" s="18"/>
      <c r="Q35">
        <v>3.5459283894612899E-2</v>
      </c>
      <c r="R35" s="10">
        <f t="shared" si="7"/>
        <v>-2.2067821441734692E-7</v>
      </c>
      <c r="T35" s="10">
        <f t="shared" si="10"/>
        <v>4.136580258240613E-2</v>
      </c>
      <c r="U35" s="15">
        <f t="shared" si="11"/>
        <v>4.136580258240613E-2</v>
      </c>
    </row>
    <row r="36" spans="1:21" x14ac:dyDescent="0.25">
      <c r="A36" t="s">
        <v>117</v>
      </c>
      <c r="B36">
        <v>3.29085651594428E-2</v>
      </c>
      <c r="C36">
        <v>0.79329327787187898</v>
      </c>
      <c r="D36" s="17">
        <v>376.54956162559</v>
      </c>
      <c r="E36" s="10">
        <v>22.086824426032599</v>
      </c>
      <c r="F36" s="10">
        <v>0.48660597642656001</v>
      </c>
      <c r="G36" s="10">
        <f t="shared" si="3"/>
        <v>1.0611998244343377</v>
      </c>
      <c r="H36" s="10">
        <f t="shared" si="0"/>
        <v>1.5974508464024426</v>
      </c>
      <c r="I36" s="17">
        <f t="shared" si="4"/>
        <v>604078.90007169859</v>
      </c>
      <c r="J36" s="17">
        <f t="shared" si="5"/>
        <v>964986.35021339147</v>
      </c>
      <c r="K36" s="10">
        <f t="shared" si="1"/>
        <v>0.62278166610404095</v>
      </c>
      <c r="L36" s="10">
        <f t="shared" si="6"/>
        <v>19.026893614064285</v>
      </c>
      <c r="M36" s="10">
        <f t="shared" si="2"/>
        <v>3.7439491827188164E-2</v>
      </c>
      <c r="O36" s="18"/>
      <c r="Q36">
        <v>3.7439258826747097E-2</v>
      </c>
      <c r="R36" s="10">
        <f t="shared" si="7"/>
        <v>-2.3300044106611129E-7</v>
      </c>
      <c r="T36" s="10">
        <f t="shared" si="10"/>
        <v>4.3394106831010526E-2</v>
      </c>
      <c r="U36" s="15">
        <f t="shared" si="11"/>
        <v>4.3394106831010526E-2</v>
      </c>
    </row>
    <row r="37" spans="1:21" x14ac:dyDescent="0.25">
      <c r="A37" t="s">
        <v>118</v>
      </c>
      <c r="B37">
        <v>2.49596960632909E-2</v>
      </c>
      <c r="C37">
        <v>0.80039625616431298</v>
      </c>
      <c r="D37" s="17">
        <v>386.75308393427702</v>
      </c>
      <c r="E37" s="10">
        <v>21.4801753215242</v>
      </c>
      <c r="F37" s="10">
        <v>0.50460389276735995</v>
      </c>
      <c r="G37" s="10">
        <f t="shared" si="3"/>
        <v>1.0841419957455634</v>
      </c>
      <c r="H37" s="10">
        <f t="shared" ref="H37:H68" si="12">(1 + G37 * (1 - (Temp / (D37+273.15))^0.5))^2</f>
        <v>1.627997664100052</v>
      </c>
      <c r="I37" s="17">
        <f t="shared" si="4"/>
        <v>640802.6396279739</v>
      </c>
      <c r="J37" s="17">
        <f t="shared" si="5"/>
        <v>1043225.2004634889</v>
      </c>
      <c r="K37" s="10">
        <f t="shared" ref="K37:K68" si="13">J37 * P / 8.314^2/ Temp^2</f>
        <v>0.67327535599099686</v>
      </c>
      <c r="L37" s="10">
        <f t="shared" si="6"/>
        <v>19.871512819444145</v>
      </c>
      <c r="M37" s="10">
        <f t="shared" ref="M37:M68" si="14">L37*P / 8.3144 / Temp</f>
        <v>3.9101461167970676E-2</v>
      </c>
      <c r="O37" s="18"/>
      <c r="Q37">
        <v>3.9101217824451397E-2</v>
      </c>
      <c r="R37" s="10">
        <f t="shared" si="7"/>
        <v>-2.4334351927945974E-7</v>
      </c>
      <c r="T37" s="10">
        <f t="shared" si="10"/>
        <v>4.5039569975682592E-2</v>
      </c>
      <c r="U37" s="15">
        <f t="shared" si="11"/>
        <v>4.5039569975682592E-2</v>
      </c>
    </row>
    <row r="38" spans="1:21" x14ac:dyDescent="0.25">
      <c r="A38" t="s">
        <v>119</v>
      </c>
      <c r="B38">
        <v>2.8529787071132399E-2</v>
      </c>
      <c r="C38">
        <v>0.80915505308367697</v>
      </c>
      <c r="D38" s="17">
        <v>397.414203335499</v>
      </c>
      <c r="E38" s="10">
        <v>21.011086942325001</v>
      </c>
      <c r="F38" s="10">
        <v>0.52090398876202204</v>
      </c>
      <c r="G38" s="10">
        <f t="shared" si="3"/>
        <v>1.1047690322981467</v>
      </c>
      <c r="H38" s="10">
        <f t="shared" si="12"/>
        <v>1.6583084154381817</v>
      </c>
      <c r="I38" s="17">
        <f t="shared" si="4"/>
        <v>676447.36542938882</v>
      </c>
      <c r="J38" s="17">
        <f t="shared" si="5"/>
        <v>1121758.3586925424</v>
      </c>
      <c r="K38" s="10">
        <f t="shared" si="13"/>
        <v>0.72395898598792552</v>
      </c>
      <c r="L38" s="10">
        <f t="shared" si="6"/>
        <v>20.643362599935447</v>
      </c>
      <c r="M38" s="10">
        <f t="shared" si="14"/>
        <v>4.062024106629105E-2</v>
      </c>
      <c r="O38" s="18"/>
      <c r="Q38">
        <v>4.0619988270816997E-2</v>
      </c>
      <c r="R38" s="10">
        <f t="shared" si="7"/>
        <v>-2.5279547405387959E-7</v>
      </c>
      <c r="T38" s="10">
        <f t="shared" si="10"/>
        <v>4.6514414540724247E-2</v>
      </c>
      <c r="U38" s="15">
        <f t="shared" si="11"/>
        <v>4.6514414540724247E-2</v>
      </c>
    </row>
    <row r="39" spans="1:21" x14ac:dyDescent="0.25">
      <c r="A39" t="s">
        <v>120</v>
      </c>
      <c r="B39">
        <v>3.3803494008476903E-2</v>
      </c>
      <c r="C39">
        <v>0.81738489464864805</v>
      </c>
      <c r="D39" s="17">
        <v>407.89221874593102</v>
      </c>
      <c r="E39" s="10">
        <v>20.5340461545754</v>
      </c>
      <c r="F39" s="10">
        <v>0.53783812849115198</v>
      </c>
      <c r="G39" s="10">
        <f t="shared" si="3"/>
        <v>1.1260465134710673</v>
      </c>
      <c r="H39" s="10">
        <f t="shared" si="12"/>
        <v>1.6892880774400922</v>
      </c>
      <c r="I39" s="17">
        <f t="shared" si="4"/>
        <v>713962.38978877128</v>
      </c>
      <c r="J39" s="17">
        <f t="shared" si="5"/>
        <v>1206088.1528108071</v>
      </c>
      <c r="K39" s="10">
        <f t="shared" si="13"/>
        <v>0.77838364149892814</v>
      </c>
      <c r="L39" s="10">
        <f t="shared" si="6"/>
        <v>21.453003145485873</v>
      </c>
      <c r="M39" s="10">
        <f t="shared" si="14"/>
        <v>4.2213382395766344E-2</v>
      </c>
      <c r="O39" s="18"/>
      <c r="Q39">
        <v>4.22131196855575E-2</v>
      </c>
      <c r="R39" s="10">
        <f t="shared" si="7"/>
        <v>-2.6271020884399698E-7</v>
      </c>
      <c r="T39" s="10">
        <f t="shared" si="10"/>
        <v>4.8072633665418973E-2</v>
      </c>
      <c r="U39" s="15">
        <f t="shared" si="11"/>
        <v>4.8072633665418973E-2</v>
      </c>
    </row>
    <row r="40" spans="1:21" x14ac:dyDescent="0.25">
      <c r="A40" t="s">
        <v>121</v>
      </c>
      <c r="B40">
        <v>2.7751175749578302E-2</v>
      </c>
      <c r="C40">
        <v>0.82290100687790502</v>
      </c>
      <c r="D40" s="17">
        <v>417.49951107398903</v>
      </c>
      <c r="E40" s="10">
        <v>19.915529951438199</v>
      </c>
      <c r="F40" s="10">
        <v>0.55808665236099597</v>
      </c>
      <c r="G40" s="10">
        <f t="shared" si="3"/>
        <v>1.1512852452104474</v>
      </c>
      <c r="H40" s="10">
        <f t="shared" si="12"/>
        <v>1.7222382641701366</v>
      </c>
      <c r="I40" s="17">
        <f t="shared" si="4"/>
        <v>757051.36672138679</v>
      </c>
      <c r="J40" s="17">
        <f t="shared" si="5"/>
        <v>1303822.8317098706</v>
      </c>
      <c r="K40" s="10">
        <f t="shared" si="13"/>
        <v>0.84145952453856132</v>
      </c>
      <c r="L40" s="10">
        <f t="shared" si="6"/>
        <v>22.431299614831982</v>
      </c>
      <c r="M40" s="10">
        <f t="shared" si="14"/>
        <v>4.4138390408717906E-2</v>
      </c>
      <c r="O40" s="18"/>
      <c r="Q40">
        <v>4.41381157184393E-2</v>
      </c>
      <c r="R40" s="10">
        <f t="shared" si="7"/>
        <v>-2.7469027860660411E-7</v>
      </c>
      <c r="T40" s="10">
        <f t="shared" si="10"/>
        <v>5.0006412865573502E-2</v>
      </c>
      <c r="U40" s="15">
        <f t="shared" si="11"/>
        <v>5.0006412865573502E-2</v>
      </c>
    </row>
    <row r="41" spans="1:21" x14ac:dyDescent="0.25">
      <c r="A41" t="s">
        <v>122</v>
      </c>
      <c r="B41">
        <v>2.2839276778230898E-2</v>
      </c>
      <c r="C41">
        <v>0.82422647951578298</v>
      </c>
      <c r="D41" s="17">
        <v>425.72954765767503</v>
      </c>
      <c r="E41" s="10">
        <v>19.0768684595783</v>
      </c>
      <c r="F41" s="10">
        <v>0.58381342677569203</v>
      </c>
      <c r="G41" s="10">
        <f t="shared" si="3"/>
        <v>1.1830330709618959</v>
      </c>
      <c r="H41" s="10">
        <f t="shared" si="12"/>
        <v>1.7583949064954167</v>
      </c>
      <c r="I41" s="17">
        <f t="shared" si="4"/>
        <v>809281.05771021161</v>
      </c>
      <c r="J41" s="17">
        <f t="shared" si="5"/>
        <v>1423035.6898008594</v>
      </c>
      <c r="K41" s="10">
        <f t="shared" si="13"/>
        <v>0.91839696760862422</v>
      </c>
      <c r="L41" s="10">
        <f t="shared" si="6"/>
        <v>23.696480150148904</v>
      </c>
      <c r="M41" s="10">
        <f t="shared" si="14"/>
        <v>4.6627904318487297E-2</v>
      </c>
      <c r="O41" s="18"/>
      <c r="Q41">
        <v>4.6627614135000703E-2</v>
      </c>
      <c r="R41" s="10">
        <f t="shared" si="7"/>
        <v>-2.9018348659398674E-7</v>
      </c>
      <c r="T41" s="10">
        <f t="shared" si="10"/>
        <v>5.2572842062657665E-2</v>
      </c>
      <c r="U41" s="15">
        <f t="shared" si="11"/>
        <v>5.2572842062657665E-2</v>
      </c>
    </row>
    <row r="42" spans="1:21" x14ac:dyDescent="0.25">
      <c r="A42" t="s">
        <v>123</v>
      </c>
      <c r="B42">
        <v>3.07644423866037E-2</v>
      </c>
      <c r="C42">
        <v>0.82670838718669504</v>
      </c>
      <c r="D42" s="17">
        <v>434.24633088677899</v>
      </c>
      <c r="E42" s="10">
        <v>18.3467427236201</v>
      </c>
      <c r="F42" s="10">
        <v>0.608692884661588</v>
      </c>
      <c r="G42" s="10">
        <f t="shared" si="3"/>
        <v>1.2133954313442434</v>
      </c>
      <c r="H42" s="10">
        <f t="shared" si="12"/>
        <v>1.7948498335424052</v>
      </c>
      <c r="I42" s="17">
        <f t="shared" si="4"/>
        <v>862121.41445410729</v>
      </c>
      <c r="J42" s="17">
        <f t="shared" si="5"/>
        <v>1547378.4772262974</v>
      </c>
      <c r="K42" s="10">
        <f t="shared" si="13"/>
        <v>0.99864515796251929</v>
      </c>
      <c r="L42" s="10">
        <f t="shared" si="6"/>
        <v>24.939769025462038</v>
      </c>
      <c r="M42" s="10">
        <f t="shared" si="14"/>
        <v>4.9074341694460885E-2</v>
      </c>
      <c r="O42" s="18"/>
      <c r="Q42">
        <v>4.9074036285848097E-2</v>
      </c>
      <c r="R42" s="10">
        <f t="shared" si="7"/>
        <v>-3.0540861278849363E-7</v>
      </c>
      <c r="T42" s="10">
        <f t="shared" si="10"/>
        <v>5.5077241652588427E-2</v>
      </c>
      <c r="U42" s="15">
        <f t="shared" si="11"/>
        <v>5.5077241652588427E-2</v>
      </c>
    </row>
    <row r="43" spans="1:21" x14ac:dyDescent="0.25">
      <c r="A43" t="s">
        <v>124</v>
      </c>
      <c r="B43">
        <v>1.48197743203128E-2</v>
      </c>
      <c r="C43">
        <v>0.83134767177115299</v>
      </c>
      <c r="D43" s="17">
        <v>443.39815084153201</v>
      </c>
      <c r="E43" s="10">
        <v>17.774758577127201</v>
      </c>
      <c r="F43" s="10">
        <v>0.63124569344734505</v>
      </c>
      <c r="G43" s="10">
        <f t="shared" si="3"/>
        <v>1.2406296569822708</v>
      </c>
      <c r="H43" s="10">
        <f t="shared" si="12"/>
        <v>1.8307925871446622</v>
      </c>
      <c r="I43" s="17">
        <f t="shared" si="4"/>
        <v>913037.98612063762</v>
      </c>
      <c r="J43" s="17">
        <f t="shared" si="5"/>
        <v>1671583.1767711544</v>
      </c>
      <c r="K43" s="10">
        <f t="shared" si="13"/>
        <v>1.0788042293352831</v>
      </c>
      <c r="L43" s="10">
        <f t="shared" si="6"/>
        <v>26.075357048214684</v>
      </c>
      <c r="M43" s="10">
        <f t="shared" si="14"/>
        <v>5.1308854556059776E-2</v>
      </c>
      <c r="O43" s="18"/>
      <c r="Q43">
        <v>5.1308535241209097E-2</v>
      </c>
      <c r="R43" s="10">
        <f t="shared" si="7"/>
        <v>-3.1931485067887566E-7</v>
      </c>
      <c r="T43" s="10">
        <f t="shared" si="10"/>
        <v>5.7332536300335579E-2</v>
      </c>
      <c r="U43" s="15">
        <f t="shared" si="11"/>
        <v>5.7332536300335579E-2</v>
      </c>
    </row>
    <row r="44" spans="1:21" x14ac:dyDescent="0.25">
      <c r="A44" t="s">
        <v>125</v>
      </c>
      <c r="B44">
        <v>1.7708976261014399E-2</v>
      </c>
      <c r="C44">
        <v>0.83741837260123497</v>
      </c>
      <c r="D44" s="17">
        <v>452.97834915500101</v>
      </c>
      <c r="E44" s="10">
        <v>17.310377114903901</v>
      </c>
      <c r="F44" s="10">
        <v>0.652196524796267</v>
      </c>
      <c r="G44" s="10">
        <f t="shared" si="3"/>
        <v>1.2656833582786386</v>
      </c>
      <c r="H44" s="10">
        <f t="shared" si="12"/>
        <v>1.8664776460369861</v>
      </c>
      <c r="I44" s="17">
        <f t="shared" si="4"/>
        <v>962768.90186816512</v>
      </c>
      <c r="J44" s="17">
        <f t="shared" si="5"/>
        <v>1796986.633636507</v>
      </c>
      <c r="K44" s="10">
        <f t="shared" si="13"/>
        <v>1.1597369531862891</v>
      </c>
      <c r="L44" s="10">
        <f t="shared" si="6"/>
        <v>27.132852776887216</v>
      </c>
      <c r="M44" s="10">
        <f t="shared" si="14"/>
        <v>5.3389704089041659E-2</v>
      </c>
      <c r="O44" s="18"/>
      <c r="Q44">
        <v>5.3389371824259402E-2</v>
      </c>
      <c r="R44" s="10">
        <f t="shared" si="7"/>
        <v>-3.3226478225734102E-7</v>
      </c>
      <c r="T44" s="10">
        <f t="shared" si="10"/>
        <v>5.9408528361251267E-2</v>
      </c>
      <c r="U44" s="15">
        <f t="shared" si="11"/>
        <v>5.9408528361251267E-2</v>
      </c>
    </row>
    <row r="45" spans="1:21" x14ac:dyDescent="0.25">
      <c r="A45" t="s">
        <v>126</v>
      </c>
      <c r="B45">
        <v>1.7747832609990601E-2</v>
      </c>
      <c r="C45">
        <v>0.84419452900901804</v>
      </c>
      <c r="D45" s="17">
        <v>462.765422080034</v>
      </c>
      <c r="E45" s="10">
        <v>16.907693329730101</v>
      </c>
      <c r="F45" s="10">
        <v>0.67239968348024604</v>
      </c>
      <c r="G45" s="10">
        <f t="shared" si="3"/>
        <v>1.2896185452780216</v>
      </c>
      <c r="H45" s="10">
        <f t="shared" si="12"/>
        <v>1.9022772816275832</v>
      </c>
      <c r="I45" s="17">
        <f t="shared" si="4"/>
        <v>1012449.2064641103</v>
      </c>
      <c r="J45" s="17">
        <f t="shared" si="5"/>
        <v>1925959.1242585515</v>
      </c>
      <c r="K45" s="10">
        <f t="shared" si="13"/>
        <v>1.2429730555139775</v>
      </c>
      <c r="L45" s="10">
        <f t="shared" si="6"/>
        <v>28.153483395947472</v>
      </c>
      <c r="M45" s="10">
        <f t="shared" si="14"/>
        <v>5.539801361638557E-2</v>
      </c>
      <c r="O45" s="18"/>
      <c r="Q45">
        <v>5.5397668853115901E-2</v>
      </c>
      <c r="R45" s="10">
        <f t="shared" si="7"/>
        <v>-3.4476326966903503E-7</v>
      </c>
      <c r="T45" s="10">
        <f t="shared" si="10"/>
        <v>6.1398576548929606E-2</v>
      </c>
      <c r="U45" s="15">
        <f t="shared" si="11"/>
        <v>6.1398576548929606E-2</v>
      </c>
    </row>
    <row r="46" spans="1:21" x14ac:dyDescent="0.25">
      <c r="A46" t="s">
        <v>127</v>
      </c>
      <c r="B46">
        <v>9.06909738344862E-3</v>
      </c>
      <c r="C46">
        <v>0.85095018032657899</v>
      </c>
      <c r="D46" s="17">
        <v>472.52402693728402</v>
      </c>
      <c r="E46" s="10">
        <v>16.524363213280701</v>
      </c>
      <c r="F46" s="10">
        <v>0.69282946994821903</v>
      </c>
      <c r="G46" s="10">
        <f t="shared" si="3"/>
        <v>1.3135981572405373</v>
      </c>
      <c r="H46" s="10">
        <f t="shared" si="12"/>
        <v>1.9386944583796659</v>
      </c>
      <c r="I46" s="17">
        <f t="shared" si="4"/>
        <v>1063592.0875445749</v>
      </c>
      <c r="J46" s="17">
        <f t="shared" si="5"/>
        <v>2061980.0860991278</v>
      </c>
      <c r="K46" s="10">
        <f t="shared" si="13"/>
        <v>1.3307580912519608</v>
      </c>
      <c r="L46" s="10">
        <f t="shared" si="6"/>
        <v>29.18857404149497</v>
      </c>
      <c r="M46" s="10">
        <f t="shared" si="14"/>
        <v>5.7434776345522236E-2</v>
      </c>
      <c r="O46" s="18"/>
      <c r="Q46">
        <v>5.74344189066903E-2</v>
      </c>
      <c r="R46" s="10">
        <f t="shared" si="7"/>
        <v>-3.5743883193550818E-7</v>
      </c>
      <c r="T46" s="10">
        <f t="shared" si="10"/>
        <v>6.3415951965032358E-2</v>
      </c>
      <c r="U46" s="15">
        <f t="shared" si="11"/>
        <v>6.3415951965032358E-2</v>
      </c>
    </row>
    <row r="47" spans="1:21" x14ac:dyDescent="0.25">
      <c r="A47" t="s">
        <v>128</v>
      </c>
      <c r="B47">
        <v>9.5131339779394395E-3</v>
      </c>
      <c r="C47">
        <v>0.85695936588599697</v>
      </c>
      <c r="D47" s="17">
        <v>482.00588411477497</v>
      </c>
      <c r="E47" s="10">
        <v>16.120938478928601</v>
      </c>
      <c r="F47" s="10">
        <v>0.71457376767013403</v>
      </c>
      <c r="G47" s="10">
        <f t="shared" si="3"/>
        <v>1.3388731574310775</v>
      </c>
      <c r="H47" s="10">
        <f t="shared" si="12"/>
        <v>1.9763668243667207</v>
      </c>
      <c r="I47" s="17">
        <f t="shared" si="4"/>
        <v>1118110.4300993152</v>
      </c>
      <c r="J47" s="17">
        <f t="shared" si="5"/>
        <v>2209796.360026692</v>
      </c>
      <c r="K47" s="10">
        <f t="shared" si="13"/>
        <v>1.4261555705360385</v>
      </c>
      <c r="L47" s="10">
        <f t="shared" si="6"/>
        <v>30.299459763829809</v>
      </c>
      <c r="M47" s="10">
        <f t="shared" si="14"/>
        <v>5.9620682135816457E-2</v>
      </c>
      <c r="O47" s="18"/>
      <c r="Q47">
        <v>5.9620311093247197E-2</v>
      </c>
      <c r="R47" s="10">
        <f t="shared" si="7"/>
        <v>-3.7104256925962753E-7</v>
      </c>
      <c r="T47" s="10">
        <f t="shared" si="10"/>
        <v>6.5593491023582418E-2</v>
      </c>
      <c r="U47" s="15">
        <f t="shared" si="11"/>
        <v>6.5593491023582418E-2</v>
      </c>
    </row>
    <row r="48" spans="1:21" x14ac:dyDescent="0.25">
      <c r="A48" t="s">
        <v>129</v>
      </c>
      <c r="B48">
        <v>5.9602642563128102E-3</v>
      </c>
      <c r="C48">
        <v>0.86149612501934503</v>
      </c>
      <c r="D48" s="17">
        <v>490.95058705015299</v>
      </c>
      <c r="E48" s="10">
        <v>15.660676324707101</v>
      </c>
      <c r="F48" s="10">
        <v>0.73883733491057202</v>
      </c>
      <c r="G48" s="10">
        <f t="shared" si="3"/>
        <v>1.3667751745741812</v>
      </c>
      <c r="H48" s="10">
        <f t="shared" si="12"/>
        <v>2.0160650829352411</v>
      </c>
      <c r="I48" s="17">
        <f t="shared" si="4"/>
        <v>1178398.96105656</v>
      </c>
      <c r="J48" s="17">
        <f t="shared" si="5"/>
        <v>2375728.9991532955</v>
      </c>
      <c r="K48" s="10">
        <f t="shared" si="13"/>
        <v>1.5332449666020602</v>
      </c>
      <c r="L48" s="10">
        <f t="shared" si="6"/>
        <v>31.559391049084578</v>
      </c>
      <c r="M48" s="10">
        <f t="shared" si="14"/>
        <v>6.2099867020849221E-2</v>
      </c>
      <c r="O48" s="18"/>
      <c r="Q48">
        <v>6.2099480549353603E-2</v>
      </c>
      <c r="R48" s="10">
        <f t="shared" si="7"/>
        <v>-3.8647149561837901E-7</v>
      </c>
      <c r="T48" s="10">
        <f t="shared" si="10"/>
        <v>6.8087619872878424E-2</v>
      </c>
      <c r="U48" s="15">
        <f t="shared" si="11"/>
        <v>6.8087619872878424E-2</v>
      </c>
    </row>
    <row r="49" spans="1:21" x14ac:dyDescent="0.25">
      <c r="A49" t="s">
        <v>130</v>
      </c>
      <c r="B49">
        <v>6.0480111911852003E-3</v>
      </c>
      <c r="C49">
        <v>0.86383449705870596</v>
      </c>
      <c r="D49" s="17">
        <v>499.086330964213</v>
      </c>
      <c r="E49" s="10">
        <v>15.109883278486199</v>
      </c>
      <c r="F49" s="10">
        <v>0.76696176720350095</v>
      </c>
      <c r="G49" s="10">
        <f t="shared" si="3"/>
        <v>1.3987193183804416</v>
      </c>
      <c r="H49" s="10">
        <f t="shared" si="12"/>
        <v>2.058689800052135</v>
      </c>
      <c r="I49" s="17">
        <f t="shared" si="4"/>
        <v>1247501.7052336517</v>
      </c>
      <c r="J49" s="17">
        <f t="shared" si="5"/>
        <v>2568219.0361121637</v>
      </c>
      <c r="K49" s="10">
        <f t="shared" si="13"/>
        <v>1.6574739423789331</v>
      </c>
      <c r="L49" s="10">
        <f t="shared" si="6"/>
        <v>33.058086774091144</v>
      </c>
      <c r="M49" s="10">
        <f t="shared" si="14"/>
        <v>6.5048872123098261E-2</v>
      </c>
      <c r="O49" s="18"/>
      <c r="Q49">
        <v>6.5048467298802801E-2</v>
      </c>
      <c r="R49" s="10">
        <f t="shared" si="7"/>
        <v>-4.0482429546073728E-7</v>
      </c>
      <c r="T49" s="10">
        <f t="shared" si="10"/>
        <v>7.1088015802380944E-2</v>
      </c>
      <c r="U49" s="15">
        <f t="shared" si="11"/>
        <v>7.1088015802380944E-2</v>
      </c>
    </row>
    <row r="50" spans="1:21" x14ac:dyDescent="0.25">
      <c r="A50" t="s">
        <v>131</v>
      </c>
      <c r="B50">
        <v>1.85922165225743E-3</v>
      </c>
      <c r="C50">
        <v>0.86476254767188299</v>
      </c>
      <c r="D50" s="17">
        <v>506.67021274893898</v>
      </c>
      <c r="E50" s="10">
        <v>14.5138619470034</v>
      </c>
      <c r="F50" s="10">
        <v>0.79799968032091295</v>
      </c>
      <c r="G50" s="10">
        <f t="shared" si="3"/>
        <v>1.4334769890069989</v>
      </c>
      <c r="H50" s="10">
        <f t="shared" si="12"/>
        <v>2.1037580527057904</v>
      </c>
      <c r="I50" s="17">
        <f t="shared" si="4"/>
        <v>1324365.2770501245</v>
      </c>
      <c r="J50" s="17">
        <f t="shared" si="5"/>
        <v>2786144.1163181346</v>
      </c>
      <c r="K50" s="10">
        <f t="shared" si="13"/>
        <v>1.7981181540887867</v>
      </c>
      <c r="L50" s="10">
        <f t="shared" si="6"/>
        <v>34.753623746106598</v>
      </c>
      <c r="M50" s="10">
        <f t="shared" si="14"/>
        <v>6.8385204574105643E-2</v>
      </c>
      <c r="O50" s="18"/>
      <c r="Q50">
        <v>6.8384778986522801E-2</v>
      </c>
      <c r="R50" s="10">
        <f t="shared" si="7"/>
        <v>-4.255875828418354E-7</v>
      </c>
      <c r="T50" s="10">
        <f t="shared" si="10"/>
        <v>7.4500220280803331E-2</v>
      </c>
      <c r="U50" s="15">
        <f t="shared" si="11"/>
        <v>7.4500220280803331E-2</v>
      </c>
    </row>
    <row r="51" spans="1:21" x14ac:dyDescent="0.25">
      <c r="A51" t="s">
        <v>132</v>
      </c>
      <c r="B51">
        <v>1.8679223455697999E-3</v>
      </c>
      <c r="C51">
        <v>0.86833262229829</v>
      </c>
      <c r="D51" s="17">
        <v>515.14857152916102</v>
      </c>
      <c r="E51" s="10">
        <v>14.072786531375799</v>
      </c>
      <c r="F51" s="10">
        <v>0.82538267212593297</v>
      </c>
      <c r="G51" s="10">
        <f t="shared" si="3"/>
        <v>1.4637099104670257</v>
      </c>
      <c r="H51" s="10">
        <f t="shared" si="12"/>
        <v>2.1472395030955052</v>
      </c>
      <c r="I51" s="17">
        <f t="shared" si="4"/>
        <v>1395735.6682324235</v>
      </c>
      <c r="J51" s="17">
        <f t="shared" si="5"/>
        <v>2996978.7627080618</v>
      </c>
      <c r="K51" s="10">
        <f t="shared" si="13"/>
        <v>1.9341863506204158</v>
      </c>
      <c r="L51" s="10">
        <f t="shared" si="6"/>
        <v>36.232577904346876</v>
      </c>
      <c r="M51" s="10">
        <f t="shared" si="14"/>
        <v>7.1295363911901791E-2</v>
      </c>
      <c r="O51" s="18"/>
      <c r="Q51">
        <v>7.1294920213271495E-2</v>
      </c>
      <c r="R51" s="10">
        <f t="shared" si="7"/>
        <v>-4.436986302952528E-7</v>
      </c>
      <c r="T51" s="10">
        <f t="shared" si="10"/>
        <v>7.7438675069491703E-2</v>
      </c>
      <c r="U51" s="15">
        <f t="shared" si="11"/>
        <v>7.7438675069491703E-2</v>
      </c>
    </row>
    <row r="52" spans="1:21" x14ac:dyDescent="0.25">
      <c r="A52" t="s">
        <v>133</v>
      </c>
      <c r="B52">
        <v>7.7531914869043595E-4</v>
      </c>
      <c r="C52">
        <v>0.87407963833483004</v>
      </c>
      <c r="D52" s="17">
        <v>524.384798597035</v>
      </c>
      <c r="E52" s="10">
        <v>13.755579415009</v>
      </c>
      <c r="F52" s="10">
        <v>0.84954767168160705</v>
      </c>
      <c r="G52" s="10">
        <f t="shared" si="3"/>
        <v>1.4900536940832894</v>
      </c>
      <c r="H52" s="10">
        <f t="shared" si="12"/>
        <v>2.1892862351712301</v>
      </c>
      <c r="I52" s="17">
        <f t="shared" si="4"/>
        <v>1461578.6569818314</v>
      </c>
      <c r="J52" s="17">
        <f t="shared" si="5"/>
        <v>3199814.0353503763</v>
      </c>
      <c r="K52" s="10">
        <f t="shared" si="13"/>
        <v>2.0650919214742562</v>
      </c>
      <c r="L52" s="10">
        <f t="shared" si="6"/>
        <v>37.502424730371459</v>
      </c>
      <c r="M52" s="10">
        <f t="shared" si="14"/>
        <v>7.3794059748913551E-2</v>
      </c>
      <c r="O52" s="18"/>
      <c r="Q52">
        <v>7.3793600499932194E-2</v>
      </c>
      <c r="R52" s="10">
        <f t="shared" si="7"/>
        <v>-4.5924898135762948E-7</v>
      </c>
      <c r="T52" s="10">
        <f t="shared" si="10"/>
        <v>7.9924644033630698E-2</v>
      </c>
      <c r="U52" s="15">
        <f t="shared" si="11"/>
        <v>7.9924644033630698E-2</v>
      </c>
    </row>
    <row r="53" spans="1:21" x14ac:dyDescent="0.25">
      <c r="A53" t="s">
        <v>134</v>
      </c>
      <c r="B53">
        <v>5.3933491191283001E-4</v>
      </c>
      <c r="C53">
        <v>0.88117709760592799</v>
      </c>
      <c r="D53" s="17">
        <v>534.101056603855</v>
      </c>
      <c r="E53" s="10">
        <v>13.5175406316833</v>
      </c>
      <c r="F53" s="10">
        <v>0.87168469226339396</v>
      </c>
      <c r="G53" s="10">
        <f t="shared" si="3"/>
        <v>1.5139099854902516</v>
      </c>
      <c r="H53" s="10">
        <f t="shared" si="12"/>
        <v>2.2305409662441975</v>
      </c>
      <c r="I53" s="17">
        <f t="shared" si="4"/>
        <v>1523776.8051536148</v>
      </c>
      <c r="J53" s="17">
        <f t="shared" si="5"/>
        <v>3398846.5873078401</v>
      </c>
      <c r="K53" s="10">
        <f t="shared" si="13"/>
        <v>2.1935432972782745</v>
      </c>
      <c r="L53" s="10">
        <f t="shared" si="6"/>
        <v>38.627760808228558</v>
      </c>
      <c r="M53" s="10">
        <f t="shared" si="14"/>
        <v>7.6008399711303826E-2</v>
      </c>
      <c r="O53" s="18"/>
      <c r="Q53">
        <v>7.6007926681628299E-2</v>
      </c>
      <c r="R53" s="10">
        <f t="shared" si="7"/>
        <v>-4.7302967552675934E-7</v>
      </c>
      <c r="T53" s="10">
        <f t="shared" si="10"/>
        <v>8.2099804353525763E-2</v>
      </c>
      <c r="U53" s="15">
        <f t="shared" si="11"/>
        <v>8.2099804353525763E-2</v>
      </c>
    </row>
    <row r="54" spans="1:21" x14ac:dyDescent="0.25">
      <c r="A54" t="s">
        <v>135</v>
      </c>
      <c r="B54">
        <v>2.6182769998614903E-4</v>
      </c>
      <c r="C54">
        <v>0.88879850193600596</v>
      </c>
      <c r="D54" s="17">
        <v>544.00644169656005</v>
      </c>
      <c r="E54" s="10">
        <v>13.317074984997801</v>
      </c>
      <c r="F54" s="10">
        <v>0.89313607345613499</v>
      </c>
      <c r="G54" s="10">
        <f t="shared" si="3"/>
        <v>1.5367750036707821</v>
      </c>
      <c r="H54" s="10">
        <f t="shared" si="12"/>
        <v>2.2718030962598244</v>
      </c>
      <c r="I54" s="17">
        <f t="shared" si="4"/>
        <v>1584905.4907839908</v>
      </c>
      <c r="J54" s="17">
        <f t="shared" si="5"/>
        <v>3600593.2012422667</v>
      </c>
      <c r="K54" s="10">
        <f t="shared" si="13"/>
        <v>2.3237462709567591</v>
      </c>
      <c r="L54" s="10">
        <f t="shared" si="6"/>
        <v>39.690352728922363</v>
      </c>
      <c r="M54" s="10">
        <f t="shared" si="14"/>
        <v>7.8099277094517097E-2</v>
      </c>
      <c r="O54" s="18"/>
      <c r="Q54">
        <v>7.8098791052503294E-2</v>
      </c>
      <c r="R54" s="10">
        <f t="shared" si="7"/>
        <v>-4.8604201380308965E-7</v>
      </c>
      <c r="T54" s="10">
        <f t="shared" si="10"/>
        <v>8.4140084796784587E-2</v>
      </c>
      <c r="U54" s="15">
        <f t="shared" si="11"/>
        <v>8.4140084796784587E-2</v>
      </c>
    </row>
    <row r="55" spans="1:21" x14ac:dyDescent="0.25">
      <c r="A55" t="s">
        <v>136</v>
      </c>
      <c r="B55">
        <v>1.10682609352012E-4</v>
      </c>
      <c r="C55">
        <v>0.89611735314948704</v>
      </c>
      <c r="D55" s="17">
        <v>553.79768132741697</v>
      </c>
      <c r="E55" s="10">
        <v>13.114602322644799</v>
      </c>
      <c r="F55" s="10">
        <v>0.91537289455749304</v>
      </c>
      <c r="G55" s="10">
        <f t="shared" si="3"/>
        <v>1.5602149982186744</v>
      </c>
      <c r="H55" s="10">
        <f t="shared" si="12"/>
        <v>2.3140293858647816</v>
      </c>
      <c r="I55" s="17">
        <f t="shared" si="4"/>
        <v>1648172.7885213224</v>
      </c>
      <c r="J55" s="17">
        <f t="shared" si="5"/>
        <v>3813920.26562104</v>
      </c>
      <c r="K55" s="10">
        <f t="shared" si="13"/>
        <v>2.4614230210470764</v>
      </c>
      <c r="L55" s="10">
        <f t="shared" si="6"/>
        <v>40.786036442780585</v>
      </c>
      <c r="M55" s="10">
        <f t="shared" si="14"/>
        <v>8.0255269674401775E-2</v>
      </c>
      <c r="O55" s="18"/>
      <c r="Q55">
        <v>8.0254770214811796E-2</v>
      </c>
      <c r="R55" s="10">
        <f t="shared" si="7"/>
        <v>-4.9945958997821283E-7</v>
      </c>
      <c r="T55" s="10">
        <f t="shared" si="10"/>
        <v>8.6248902722780907E-2</v>
      </c>
      <c r="U55" s="15">
        <f t="shared" si="11"/>
        <v>8.6248902722780907E-2</v>
      </c>
    </row>
    <row r="56" spans="1:21" x14ac:dyDescent="0.25">
      <c r="A56" t="s">
        <v>137</v>
      </c>
      <c r="B56" s="19">
        <v>3.6998738846138297E-5</v>
      </c>
      <c r="C56">
        <v>0.90230715307079401</v>
      </c>
      <c r="D56" s="17">
        <v>563.15976940026701</v>
      </c>
      <c r="E56" s="10">
        <v>12.8721068468091</v>
      </c>
      <c r="F56" s="10">
        <v>0.93998942197562496</v>
      </c>
      <c r="G56" s="10">
        <f t="shared" si="3"/>
        <v>1.5858521417201625</v>
      </c>
      <c r="H56" s="10">
        <f t="shared" si="12"/>
        <v>2.358329736285143</v>
      </c>
      <c r="I56" s="17">
        <f t="shared" si="4"/>
        <v>1717459.4895205474</v>
      </c>
      <c r="J56" s="17">
        <f t="shared" si="5"/>
        <v>4050335.7850014088</v>
      </c>
      <c r="K56" s="10">
        <f t="shared" si="13"/>
        <v>2.6140005689263801</v>
      </c>
      <c r="L56" s="10">
        <f t="shared" si="6"/>
        <v>42.024845845987151</v>
      </c>
      <c r="M56" s="10">
        <f t="shared" si="14"/>
        <v>8.2692892728777431E-2</v>
      </c>
      <c r="O56" s="18"/>
      <c r="Q56">
        <v>8.26923780989164E-2</v>
      </c>
      <c r="R56" s="10">
        <f t="shared" si="7"/>
        <v>-5.1462986103145703E-7</v>
      </c>
      <c r="T56" s="10">
        <f t="shared" si="10"/>
        <v>8.865736371035432E-2</v>
      </c>
      <c r="U56" s="15">
        <f t="shared" si="11"/>
        <v>8.865736371035432E-2</v>
      </c>
    </row>
    <row r="57" spans="1:21" x14ac:dyDescent="0.25">
      <c r="A57" t="s">
        <v>138</v>
      </c>
      <c r="B57" s="19">
        <v>2.7293400117819402E-5</v>
      </c>
      <c r="C57">
        <v>0.90654140352435597</v>
      </c>
      <c r="D57" s="17">
        <v>571.76654522156798</v>
      </c>
      <c r="E57" s="10">
        <v>12.553390810036101</v>
      </c>
      <c r="F57" s="10">
        <v>0.96872615532217499</v>
      </c>
      <c r="G57" s="10">
        <f t="shared" si="3"/>
        <v>1.6153664764548716</v>
      </c>
      <c r="H57" s="10">
        <f t="shared" si="12"/>
        <v>2.4059650606549887</v>
      </c>
      <c r="I57" s="17">
        <f t="shared" si="4"/>
        <v>1797497.8418987235</v>
      </c>
      <c r="J57" s="17">
        <f t="shared" si="5"/>
        <v>4324717.0042110737</v>
      </c>
      <c r="K57" s="10">
        <f t="shared" si="13"/>
        <v>2.7910803719819013</v>
      </c>
      <c r="L57" s="10">
        <f t="shared" si="6"/>
        <v>43.53528182441228</v>
      </c>
      <c r="M57" s="10">
        <f t="shared" si="14"/>
        <v>8.5664999296290817E-2</v>
      </c>
      <c r="O57" s="18"/>
      <c r="Q57">
        <v>8.5664466169860801E-2</v>
      </c>
      <c r="R57" s="10">
        <f t="shared" si="7"/>
        <v>-5.3312643001623972E-7</v>
      </c>
      <c r="T57" s="10">
        <f t="shared" si="10"/>
        <v>9.1633169985275265E-2</v>
      </c>
      <c r="U57" s="15">
        <f t="shared" si="11"/>
        <v>9.1633169985275265E-2</v>
      </c>
    </row>
    <row r="58" spans="1:21" x14ac:dyDescent="0.25">
      <c r="A58" t="s">
        <v>139</v>
      </c>
      <c r="B58" s="19">
        <v>1.02082721278047E-5</v>
      </c>
      <c r="C58">
        <v>0.91221669295797003</v>
      </c>
      <c r="D58" s="17">
        <v>580.90740157589903</v>
      </c>
      <c r="E58" s="10">
        <v>12.313073546618</v>
      </c>
      <c r="F58" s="10">
        <v>0.99519592369801801</v>
      </c>
      <c r="G58" s="10">
        <f t="shared" si="3"/>
        <v>1.6421580683094379</v>
      </c>
      <c r="H58" s="10">
        <f t="shared" si="12"/>
        <v>2.4525538840271621</v>
      </c>
      <c r="I58" s="17">
        <f t="shared" si="4"/>
        <v>1872446.6213749785</v>
      </c>
      <c r="J58" s="17">
        <f t="shared" si="5"/>
        <v>4592276.2338867402</v>
      </c>
      <c r="K58" s="10">
        <f t="shared" si="13"/>
        <v>2.9637574080892795</v>
      </c>
      <c r="L58" s="10">
        <f t="shared" si="6"/>
        <v>44.865156011854531</v>
      </c>
      <c r="M58" s="10">
        <f t="shared" si="14"/>
        <v>8.8281811834472507E-2</v>
      </c>
      <c r="O58" s="18"/>
      <c r="Q58">
        <v>8.8281262422605505E-2</v>
      </c>
      <c r="R58" s="10">
        <f t="shared" si="7"/>
        <v>-5.4941186700130373E-7</v>
      </c>
      <c r="T58" s="10">
        <f t="shared" si="10"/>
        <v>9.4225721871267987E-2</v>
      </c>
      <c r="U58" s="15">
        <f t="shared" si="11"/>
        <v>9.4225721871267987E-2</v>
      </c>
    </row>
    <row r="59" spans="1:21" x14ac:dyDescent="0.25">
      <c r="A59" t="s">
        <v>140</v>
      </c>
      <c r="B59" s="19">
        <v>4.7811981727387303E-6</v>
      </c>
      <c r="C59">
        <v>0.91517542065415802</v>
      </c>
      <c r="D59" s="17">
        <v>588.98323847540905</v>
      </c>
      <c r="E59" s="10">
        <v>11.964721838179599</v>
      </c>
      <c r="F59" s="10">
        <v>1.0275944902732901</v>
      </c>
      <c r="G59" s="10">
        <f t="shared" si="3"/>
        <v>1.6744357367649934</v>
      </c>
      <c r="H59" s="10">
        <f t="shared" si="12"/>
        <v>2.5038021164128468</v>
      </c>
      <c r="I59" s="17">
        <f t="shared" si="4"/>
        <v>1963577.1504910972</v>
      </c>
      <c r="J59" s="17">
        <f t="shared" si="5"/>
        <v>4916408.6251395158</v>
      </c>
      <c r="K59" s="10">
        <f t="shared" si="13"/>
        <v>3.1729455594222511</v>
      </c>
      <c r="L59" s="10">
        <f t="shared" si="6"/>
        <v>46.607990392379811</v>
      </c>
      <c r="M59" s="10">
        <f t="shared" si="14"/>
        <v>9.1711212075486465E-2</v>
      </c>
      <c r="O59" s="18"/>
      <c r="Q59">
        <v>9.1710641321135197E-2</v>
      </c>
      <c r="R59" s="10">
        <f t="shared" si="7"/>
        <v>-5.7075435126729968E-7</v>
      </c>
      <c r="T59" s="10">
        <f t="shared" si="10"/>
        <v>9.7678156934789429E-2</v>
      </c>
      <c r="U59" s="15">
        <f t="shared" si="11"/>
        <v>9.7678156934789429E-2</v>
      </c>
    </row>
    <row r="60" spans="1:21" x14ac:dyDescent="0.25">
      <c r="A60" t="s">
        <v>141</v>
      </c>
      <c r="B60" s="19">
        <v>2.01980512357734E-6</v>
      </c>
      <c r="C60">
        <v>0.91865655888244802</v>
      </c>
      <c r="D60" s="17">
        <v>597.23709926504796</v>
      </c>
      <c r="E60" s="10">
        <v>11.653449212517</v>
      </c>
      <c r="F60" s="10">
        <v>1.0596642085002701</v>
      </c>
      <c r="G60" s="10">
        <f t="shared" si="3"/>
        <v>1.7058277298707525</v>
      </c>
      <c r="H60" s="10">
        <f t="shared" si="12"/>
        <v>2.5553496929247652</v>
      </c>
      <c r="I60" s="17">
        <f t="shared" si="4"/>
        <v>2054812.5086296408</v>
      </c>
      <c r="J60" s="17">
        <f t="shared" si="5"/>
        <v>5250764.5129447188</v>
      </c>
      <c r="K60" s="10">
        <f t="shared" si="13"/>
        <v>3.3887317379863031</v>
      </c>
      <c r="L60" s="10">
        <f t="shared" si="6"/>
        <v>48.311058453234558</v>
      </c>
      <c r="M60" s="10">
        <f t="shared" si="14"/>
        <v>9.5062363558163845E-2</v>
      </c>
      <c r="O60" s="18"/>
      <c r="Q60">
        <v>9.5061771948300094E-2</v>
      </c>
      <c r="R60" s="10">
        <f t="shared" si="7"/>
        <v>-5.9160986375095259E-7</v>
      </c>
      <c r="T60" s="10">
        <f t="shared" si="10"/>
        <v>0.10104132018454376</v>
      </c>
      <c r="U60" s="15">
        <f t="shared" si="11"/>
        <v>0.10104132018454376</v>
      </c>
    </row>
    <row r="61" spans="1:21" x14ac:dyDescent="0.25">
      <c r="A61" t="s">
        <v>142</v>
      </c>
      <c r="B61" s="19">
        <v>6.3763918725002602E-7</v>
      </c>
      <c r="C61">
        <v>0.92236464174872201</v>
      </c>
      <c r="D61" s="17">
        <v>605.55870377300198</v>
      </c>
      <c r="E61" s="10">
        <v>11.3649334173261</v>
      </c>
      <c r="F61" s="10">
        <v>1.09197672277185</v>
      </c>
      <c r="G61" s="10">
        <f t="shared" si="3"/>
        <v>1.7368958594847612</v>
      </c>
      <c r="H61" s="10">
        <f t="shared" si="12"/>
        <v>2.6075748989390588</v>
      </c>
      <c r="I61" s="17">
        <f t="shared" si="4"/>
        <v>2147458.3951164223</v>
      </c>
      <c r="J61" s="17">
        <f t="shared" si="5"/>
        <v>5599658.6076215385</v>
      </c>
      <c r="K61" s="10">
        <f t="shared" si="13"/>
        <v>3.613900566051738</v>
      </c>
      <c r="L61" s="10">
        <f t="shared" si="6"/>
        <v>50.011125392036419</v>
      </c>
      <c r="M61" s="10">
        <f t="shared" si="14"/>
        <v>9.8407609689875858E-2</v>
      </c>
      <c r="O61" s="18"/>
      <c r="Q61">
        <v>9.8406997261251905E-2</v>
      </c>
      <c r="R61" s="10">
        <f t="shared" si="7"/>
        <v>-6.1242862395283204E-7</v>
      </c>
      <c r="T61" s="10">
        <f t="shared" si="10"/>
        <v>0.1043927292009274</v>
      </c>
      <c r="U61" s="15">
        <f t="shared" si="11"/>
        <v>0.1043927292009274</v>
      </c>
    </row>
    <row r="62" spans="1:21" x14ac:dyDescent="0.25">
      <c r="A62" t="s">
        <v>143</v>
      </c>
      <c r="B62" s="19">
        <v>2.49350228395104E-7</v>
      </c>
      <c r="C62">
        <v>0.92770595560098001</v>
      </c>
      <c r="D62" s="17">
        <v>617.91731099505398</v>
      </c>
      <c r="E62" s="10">
        <v>10.9455910028822</v>
      </c>
      <c r="F62" s="10">
        <v>1.14232194118395</v>
      </c>
      <c r="G62" s="10">
        <f t="shared" si="3"/>
        <v>1.7841789862899713</v>
      </c>
      <c r="H62" s="10">
        <f t="shared" si="12"/>
        <v>2.6881452485296653</v>
      </c>
      <c r="I62" s="17">
        <f t="shared" si="4"/>
        <v>2292892.0332245128</v>
      </c>
      <c r="J62" s="17">
        <f t="shared" si="5"/>
        <v>6163626.8245039973</v>
      </c>
      <c r="K62" s="10">
        <f t="shared" si="13"/>
        <v>3.9778736581707248</v>
      </c>
      <c r="L62" s="10">
        <f t="shared" si="6"/>
        <v>52.657458081787667</v>
      </c>
      <c r="M62" s="10">
        <f t="shared" si="14"/>
        <v>0.10361483652992752</v>
      </c>
      <c r="O62" s="18"/>
      <c r="Q62">
        <v>0.103614191694716</v>
      </c>
      <c r="R62" s="10">
        <f t="shared" si="7"/>
        <v>-6.4483521151903478E-7</v>
      </c>
      <c r="T62" s="10">
        <f t="shared" si="10"/>
        <v>0.10961025680442543</v>
      </c>
      <c r="U62" s="15">
        <f t="shared" si="11"/>
        <v>0.10961025680442543</v>
      </c>
    </row>
    <row r="63" spans="1:21" x14ac:dyDescent="0.25">
      <c r="A63" t="s">
        <v>144</v>
      </c>
      <c r="B63" s="19">
        <v>5.8648533532470902E-8</v>
      </c>
      <c r="C63">
        <v>0.93286433195852503</v>
      </c>
      <c r="D63" s="17">
        <v>633.53585231134696</v>
      </c>
      <c r="E63" s="10">
        <v>10.3468664169009</v>
      </c>
      <c r="F63" s="10">
        <v>1.2169379373887099</v>
      </c>
      <c r="G63" s="10">
        <f t="shared" si="3"/>
        <v>1.8517399336194984</v>
      </c>
      <c r="H63" s="10">
        <f t="shared" si="12"/>
        <v>2.8024456699071143</v>
      </c>
      <c r="I63" s="17">
        <f t="shared" si="4"/>
        <v>2511346.4765458447</v>
      </c>
      <c r="J63" s="17">
        <f t="shared" si="5"/>
        <v>7037912.0588323912</v>
      </c>
      <c r="K63" s="10">
        <f t="shared" si="13"/>
        <v>4.5421187532073475</v>
      </c>
      <c r="L63" s="10">
        <f t="shared" si="6"/>
        <v>56.680881011940563</v>
      </c>
      <c r="M63" s="10">
        <f t="shared" si="14"/>
        <v>0.11153178361368241</v>
      </c>
      <c r="O63" s="18"/>
      <c r="Q63">
        <v>0.111531089508246</v>
      </c>
      <c r="R63" s="10">
        <f t="shared" si="7"/>
        <v>-6.9410543640513467E-7</v>
      </c>
      <c r="T63" s="10">
        <f t="shared" si="10"/>
        <v>0.11757387552909265</v>
      </c>
      <c r="U63" s="15">
        <f t="shared" si="11"/>
        <v>0.11757387552909265</v>
      </c>
    </row>
    <row r="64" spans="1:21" x14ac:dyDescent="0.25">
      <c r="A64" t="s">
        <v>145</v>
      </c>
      <c r="B64" s="19">
        <v>4.6276660073516797E-9</v>
      </c>
      <c r="C64">
        <v>0.93419446245362703</v>
      </c>
      <c r="D64" s="17">
        <v>647.49233180026897</v>
      </c>
      <c r="E64" s="10">
        <v>9.6455301074847402</v>
      </c>
      <c r="F64" s="10">
        <v>1.3054953926823001</v>
      </c>
      <c r="G64" s="10">
        <f t="shared" si="3"/>
        <v>1.9280237502908568</v>
      </c>
      <c r="H64" s="10">
        <f t="shared" si="12"/>
        <v>2.9280292707631839</v>
      </c>
      <c r="I64" s="17">
        <f t="shared" si="4"/>
        <v>2777522.4460305544</v>
      </c>
      <c r="J64" s="17">
        <f t="shared" si="5"/>
        <v>8132667.0221792189</v>
      </c>
      <c r="K64" s="10">
        <f t="shared" si="13"/>
        <v>5.2486503221751759</v>
      </c>
      <c r="L64" s="10">
        <f t="shared" si="6"/>
        <v>61.738124789732069</v>
      </c>
      <c r="M64" s="10">
        <f t="shared" si="14"/>
        <v>0.1214829948269919</v>
      </c>
      <c r="O64" s="18"/>
      <c r="Q64">
        <v>0.121482238791319</v>
      </c>
      <c r="R64" s="10">
        <f t="shared" si="7"/>
        <v>-7.5603567289972418E-7</v>
      </c>
      <c r="T64" s="10">
        <f t="shared" si="10"/>
        <v>0.12764620082141981</v>
      </c>
      <c r="U64" s="15">
        <f t="shared" si="11"/>
        <v>0.12764620082141981</v>
      </c>
    </row>
    <row r="65" spans="1:21" x14ac:dyDescent="0.25">
      <c r="A65" t="s">
        <v>146</v>
      </c>
      <c r="B65" s="19">
        <v>5.96827546599164E-10</v>
      </c>
      <c r="C65">
        <v>0.93675043004368397</v>
      </c>
      <c r="D65" s="17">
        <v>661.836939355852</v>
      </c>
      <c r="E65" s="10">
        <v>9.0428993020537192</v>
      </c>
      <c r="F65" s="10">
        <v>1.39680022646597</v>
      </c>
      <c r="G65" s="10">
        <f t="shared" si="3"/>
        <v>2.0022414657222654</v>
      </c>
      <c r="H65" s="10">
        <f t="shared" si="12"/>
        <v>3.0563958459474914</v>
      </c>
      <c r="I65" s="17">
        <f t="shared" si="4"/>
        <v>3055661.1448368533</v>
      </c>
      <c r="J65" s="17">
        <f t="shared" si="5"/>
        <v>9339310.0297025144</v>
      </c>
      <c r="K65" s="10">
        <f t="shared" si="13"/>
        <v>6.0273920551043219</v>
      </c>
      <c r="L65" s="10">
        <f t="shared" si="6"/>
        <v>66.878487798029909</v>
      </c>
      <c r="M65" s="10">
        <f t="shared" si="14"/>
        <v>0.13159776094392076</v>
      </c>
      <c r="O65" s="18"/>
      <c r="Q65">
        <v>0.13159694196014601</v>
      </c>
      <c r="R65" s="10">
        <f t="shared" si="7"/>
        <v>-8.1898377474187711E-7</v>
      </c>
      <c r="T65" s="10">
        <f t="shared" si="10"/>
        <v>0.13785797222203516</v>
      </c>
      <c r="U65" s="15">
        <f t="shared" si="11"/>
        <v>0.13785797222203516</v>
      </c>
    </row>
    <row r="66" spans="1:21" x14ac:dyDescent="0.25">
      <c r="A66" t="s">
        <v>147</v>
      </c>
      <c r="B66" s="19">
        <v>5.70724865221845E-11</v>
      </c>
      <c r="C66">
        <v>0.94200402252305904</v>
      </c>
      <c r="D66" s="17">
        <v>677.22075429978304</v>
      </c>
      <c r="E66" s="10">
        <v>8.5823082251274307</v>
      </c>
      <c r="F66" s="10">
        <v>1.4863637092469</v>
      </c>
      <c r="G66" s="10">
        <f t="shared" si="3"/>
        <v>2.0706712258243423</v>
      </c>
      <c r="H66" s="10">
        <f t="shared" si="12"/>
        <v>3.1839649478652161</v>
      </c>
      <c r="I66" s="17">
        <f t="shared" si="4"/>
        <v>3326471.5756952353</v>
      </c>
      <c r="J66" s="17">
        <f t="shared" si="5"/>
        <v>10591368.897083603</v>
      </c>
      <c r="K66" s="10">
        <f t="shared" si="13"/>
        <v>6.8354442180344011</v>
      </c>
      <c r="L66" s="10">
        <f t="shared" si="6"/>
        <v>71.627130114626667</v>
      </c>
      <c r="M66" s="10">
        <f t="shared" si="14"/>
        <v>0.14094173262992674</v>
      </c>
      <c r="O66" s="18"/>
      <c r="Q66">
        <v>0.14094085549500099</v>
      </c>
      <c r="R66" s="10">
        <f t="shared" si="7"/>
        <v>-8.7713492574748031E-7</v>
      </c>
      <c r="T66" s="10">
        <f t="shared" si="10"/>
        <v>0.14723925048481806</v>
      </c>
      <c r="U66" s="15">
        <f t="shared" si="11"/>
        <v>0.14723925048481806</v>
      </c>
    </row>
    <row r="67" spans="1:21" x14ac:dyDescent="0.25">
      <c r="A67" t="s">
        <v>148</v>
      </c>
      <c r="B67" s="19">
        <v>3.6080509520972E-12</v>
      </c>
      <c r="C67">
        <v>0.94961573943008504</v>
      </c>
      <c r="D67" s="17">
        <v>693.54973258642895</v>
      </c>
      <c r="E67" s="10">
        <v>8.23940730317854</v>
      </c>
      <c r="F67" s="10">
        <v>1.5741336600286</v>
      </c>
      <c r="G67" s="10">
        <f t="shared" si="3"/>
        <v>2.1335294797566196</v>
      </c>
      <c r="H67" s="10">
        <f t="shared" si="12"/>
        <v>3.3102842817587232</v>
      </c>
      <c r="I67" s="17">
        <f t="shared" si="4"/>
        <v>3584998.8665121347</v>
      </c>
      <c r="J67" s="17">
        <f t="shared" si="5"/>
        <v>11867365.397937959</v>
      </c>
      <c r="K67" s="10">
        <f t="shared" si="13"/>
        <v>7.6589452204778796</v>
      </c>
      <c r="L67" s="10">
        <f t="shared" si="6"/>
        <v>75.889942082073929</v>
      </c>
      <c r="M67" s="10">
        <f t="shared" si="14"/>
        <v>0.1493297289604528</v>
      </c>
      <c r="O67" s="18"/>
      <c r="Q67">
        <v>0.14932879962378101</v>
      </c>
      <c r="R67" s="10">
        <f t="shared" si="7"/>
        <v>-9.2933667178440871E-7</v>
      </c>
      <c r="T67" s="10">
        <f t="shared" si="10"/>
        <v>0.15560793718265364</v>
      </c>
      <c r="U67" s="15">
        <f t="shared" si="11"/>
        <v>0.15560793718265364</v>
      </c>
    </row>
    <row r="68" spans="1:21" x14ac:dyDescent="0.25">
      <c r="A68" t="s">
        <v>149</v>
      </c>
      <c r="B68" s="19">
        <v>4.7551177358411102E-13</v>
      </c>
      <c r="C68">
        <v>0.959246080303092</v>
      </c>
      <c r="D68" s="17">
        <v>710.71978323828603</v>
      </c>
      <c r="E68" s="10">
        <v>7.9943445841696601</v>
      </c>
      <c r="F68" s="10">
        <v>1.6602401720268001</v>
      </c>
      <c r="G68" s="10">
        <f t="shared" si="3"/>
        <v>2.1911552137252315</v>
      </c>
      <c r="H68" s="10">
        <f t="shared" si="12"/>
        <v>3.4350136969693419</v>
      </c>
      <c r="I68" s="17">
        <f t="shared" si="4"/>
        <v>3827314.7512245537</v>
      </c>
      <c r="J68" s="17">
        <f t="shared" si="5"/>
        <v>13146878.593069151</v>
      </c>
      <c r="K68" s="10">
        <f t="shared" si="13"/>
        <v>8.4847158226109531</v>
      </c>
      <c r="L68" s="10">
        <f t="shared" si="6"/>
        <v>79.605551188969343</v>
      </c>
      <c r="M68" s="10">
        <f t="shared" si="14"/>
        <v>0.1566409863633853</v>
      </c>
      <c r="O68" s="18"/>
      <c r="Q68">
        <v>0.15664001152593099</v>
      </c>
      <c r="R68" s="10">
        <f t="shared" si="7"/>
        <v>-9.7483745431503621E-7</v>
      </c>
      <c r="T68" s="10">
        <f t="shared" si="10"/>
        <v>0.16284884706146735</v>
      </c>
      <c r="U68" s="15">
        <f t="shared" si="11"/>
        <v>0.16284884706146735</v>
      </c>
    </row>
    <row r="69" spans="1:21" x14ac:dyDescent="0.25">
      <c r="A69" t="s">
        <v>150</v>
      </c>
      <c r="B69" s="19">
        <v>1.6944954726703099E-14</v>
      </c>
      <c r="C69">
        <v>0.97055554468041205</v>
      </c>
      <c r="D69" s="17">
        <v>728.61755381737805</v>
      </c>
      <c r="E69" s="10">
        <v>7.8306759392905603</v>
      </c>
      <c r="F69" s="10">
        <v>1.7450341030713299</v>
      </c>
      <c r="G69" s="10">
        <f t="shared" si="3"/>
        <v>2.2439910216863304</v>
      </c>
      <c r="H69" s="10">
        <f t="shared" ref="H69:H79" si="15">(1 + G69 * (1 - (Temp / (D69+273.15))^0.5))^2</f>
        <v>3.5579410080960292</v>
      </c>
      <c r="I69" s="17">
        <f t="shared" si="4"/>
        <v>4050759.58826049</v>
      </c>
      <c r="J69" s="17">
        <f t="shared" si="5"/>
        <v>14412363.653010184</v>
      </c>
      <c r="K69" s="10">
        <f t="shared" ref="K69:K79" si="16">J69 * P / 8.314^2/ Temp^2</f>
        <v>9.3014329646571277</v>
      </c>
      <c r="L69" s="10">
        <f t="shared" si="6"/>
        <v>82.747771127296588</v>
      </c>
      <c r="M69" s="10">
        <f t="shared" ref="M69:M79" si="17">L69*P / 8.3144 / Temp</f>
        <v>0.16282397766435477</v>
      </c>
      <c r="O69" s="18"/>
      <c r="Q69">
        <v>0.16282296434775301</v>
      </c>
      <c r="R69" s="10">
        <f t="shared" si="7"/>
        <v>-1.0133166017667339E-6</v>
      </c>
      <c r="T69" s="10">
        <f t="shared" si="10"/>
        <v>0.16891785807508236</v>
      </c>
      <c r="U69" s="15">
        <f t="shared" si="11"/>
        <v>0.16891785807508236</v>
      </c>
    </row>
    <row r="70" spans="1:21" x14ac:dyDescent="0.25">
      <c r="A70" t="s">
        <v>151</v>
      </c>
      <c r="B70" s="19">
        <v>2.3276238907082001E-15</v>
      </c>
      <c r="C70">
        <v>0.98320463210037801</v>
      </c>
      <c r="D70" s="17">
        <v>747.12111036392298</v>
      </c>
      <c r="E70" s="10">
        <v>7.7344099569539804</v>
      </c>
      <c r="F70" s="10">
        <v>1.82911159445948</v>
      </c>
      <c r="G70" s="10">
        <f t="shared" ref="G70:G79" si="18">0.37464 + 1.54226 * F70 - 0.26992 * F70^2</f>
        <v>2.2925480088628287</v>
      </c>
      <c r="H70" s="10">
        <f t="shared" si="15"/>
        <v>3.6789683767242809</v>
      </c>
      <c r="I70" s="17">
        <f t="shared" ref="I70:I79" si="19">0.4572355289 * (8.3144 * (D70+273.15))^2 /E70</f>
        <v>4254081.3351376196</v>
      </c>
      <c r="J70" s="17">
        <f t="shared" ref="J70:J79" si="20">I70*H70</f>
        <v>15650630.703984311</v>
      </c>
      <c r="K70" s="10">
        <f t="shared" si="16"/>
        <v>10.100584182616709</v>
      </c>
      <c r="L70" s="10">
        <f t="shared" ref="L70:L79" si="21">0.077796074 * 8.3144 * (D70+273.15) / E70</f>
        <v>85.32513748028704</v>
      </c>
      <c r="M70" s="10">
        <f t="shared" si="17"/>
        <v>0.16789549845307292</v>
      </c>
      <c r="O70" s="18"/>
      <c r="Q70">
        <v>0.167894453574436</v>
      </c>
      <c r="R70" s="10">
        <f t="shared" ref="R70:R79" si="22">Q70-M70</f>
        <v>-1.0448786369188223E-6</v>
      </c>
      <c r="T70" s="10">
        <f t="shared" si="10"/>
        <v>0.17384035184869645</v>
      </c>
      <c r="U70" s="15">
        <f t="shared" si="11"/>
        <v>0.17384035184869645</v>
      </c>
    </row>
    <row r="71" spans="1:21" x14ac:dyDescent="0.25">
      <c r="A71" t="s">
        <v>152</v>
      </c>
      <c r="B71" s="19">
        <v>1.01501574899055E-16</v>
      </c>
      <c r="C71">
        <v>0.996853842101319</v>
      </c>
      <c r="D71" s="17">
        <v>766.10052798204197</v>
      </c>
      <c r="E71" s="10">
        <v>7.6931752138502603</v>
      </c>
      <c r="F71" s="10">
        <v>1.9133235415391401</v>
      </c>
      <c r="G71" s="10">
        <f t="shared" si="18"/>
        <v>2.3373573465879955</v>
      </c>
      <c r="H71" s="10">
        <f t="shared" si="15"/>
        <v>3.7980668415882337</v>
      </c>
      <c r="I71" s="17">
        <f t="shared" si="19"/>
        <v>4437482.7908428637</v>
      </c>
      <c r="J71" s="17">
        <f t="shared" si="20"/>
        <v>16853856.248018697</v>
      </c>
      <c r="K71" s="10">
        <f t="shared" si="16"/>
        <v>10.877120357296247</v>
      </c>
      <c r="L71" s="10">
        <f t="shared" si="21"/>
        <v>87.378226394371168</v>
      </c>
      <c r="M71" s="10">
        <f t="shared" si="17"/>
        <v>0.17193539099562255</v>
      </c>
      <c r="O71" s="18"/>
      <c r="Q71">
        <v>0.171934320975171</v>
      </c>
      <c r="R71" s="10">
        <f t="shared" si="22"/>
        <v>-1.0700204515490253E-6</v>
      </c>
      <c r="T71" s="10">
        <f t="shared" si="10"/>
        <v>0.17770538149626908</v>
      </c>
      <c r="U71" s="15">
        <f t="shared" si="11"/>
        <v>0.17770538149626908</v>
      </c>
    </row>
    <row r="72" spans="1:21" x14ac:dyDescent="0.25">
      <c r="A72" t="s">
        <v>153</v>
      </c>
      <c r="B72" s="19">
        <v>1.7749431184055E-17</v>
      </c>
      <c r="C72">
        <v>1.0111636742215599</v>
      </c>
      <c r="D72" s="17">
        <v>785.41840547811398</v>
      </c>
      <c r="E72" s="10">
        <v>7.6954937042148996</v>
      </c>
      <c r="F72" s="10">
        <v>1.99877445438205</v>
      </c>
      <c r="G72" s="10">
        <f t="shared" si="18"/>
        <v>2.3789126816984485</v>
      </c>
      <c r="H72" s="10">
        <f t="shared" si="15"/>
        <v>3.9152004686874537</v>
      </c>
      <c r="I72" s="17">
        <f t="shared" si="19"/>
        <v>4602599.2892307257</v>
      </c>
      <c r="J72" s="17">
        <f t="shared" si="20"/>
        <v>18020098.89437668</v>
      </c>
      <c r="K72" s="10">
        <f t="shared" si="16"/>
        <v>11.629788556405797</v>
      </c>
      <c r="L72" s="10">
        <f t="shared" si="21"/>
        <v>88.975622576438781</v>
      </c>
      <c r="M72" s="10">
        <f t="shared" si="17"/>
        <v>0.175078610404759</v>
      </c>
      <c r="O72" s="18"/>
      <c r="Q72">
        <v>0.17507752082283701</v>
      </c>
      <c r="R72" s="10">
        <f t="shared" si="22"/>
        <v>-1.0895819219924885E-6</v>
      </c>
      <c r="T72" s="10">
        <f t="shared" si="10"/>
        <v>0.18065730431932231</v>
      </c>
      <c r="U72" s="15">
        <f t="shared" si="11"/>
        <v>0.18065730431932231</v>
      </c>
    </row>
    <row r="73" spans="1:21" x14ac:dyDescent="0.25">
      <c r="A73" t="s">
        <v>154</v>
      </c>
      <c r="B73" s="19">
        <v>1.1363373996331E-18</v>
      </c>
      <c r="C73">
        <v>1.02552975798414</v>
      </c>
      <c r="D73" s="17">
        <v>804.80930652927805</v>
      </c>
      <c r="E73" s="10">
        <v>7.7206116151372202</v>
      </c>
      <c r="F73" s="10">
        <v>2.0880094053639402</v>
      </c>
      <c r="G73" s="10">
        <f t="shared" si="18"/>
        <v>2.4181006834189072</v>
      </c>
      <c r="H73" s="10">
        <f t="shared" si="15"/>
        <v>4.030731139878351</v>
      </c>
      <c r="I73" s="17">
        <f t="shared" si="19"/>
        <v>4757237.4021497509</v>
      </c>
      <c r="J73" s="17">
        <f t="shared" si="20"/>
        <v>19175144.936638989</v>
      </c>
      <c r="K73" s="10">
        <f t="shared" si="16"/>
        <v>12.375230705372907</v>
      </c>
      <c r="L73" s="10">
        <f t="shared" si="21"/>
        <v>90.310709775026154</v>
      </c>
      <c r="M73" s="10">
        <f t="shared" si="17"/>
        <v>0.17770568065983985</v>
      </c>
      <c r="O73" s="18"/>
      <c r="Q73">
        <v>0.17770457472864401</v>
      </c>
      <c r="R73" s="10">
        <f t="shared" si="22"/>
        <v>-1.1059311958439011E-6</v>
      </c>
      <c r="T73" s="10">
        <f t="shared" si="10"/>
        <v>0.1830918663103609</v>
      </c>
      <c r="U73" s="15">
        <f t="shared" si="11"/>
        <v>0.1830918663103609</v>
      </c>
    </row>
    <row r="74" spans="1:21" x14ac:dyDescent="0.25">
      <c r="A74" t="s">
        <v>155</v>
      </c>
      <c r="B74" s="19">
        <v>9.49900148534959E-20</v>
      </c>
      <c r="C74">
        <v>1.03531565481946</v>
      </c>
      <c r="D74" s="17">
        <v>822.13606053343005</v>
      </c>
      <c r="E74" s="10">
        <v>7.6004249549832501</v>
      </c>
      <c r="F74" s="10">
        <v>2.2033982961888001</v>
      </c>
      <c r="G74" s="10">
        <f t="shared" si="18"/>
        <v>2.4624011594593895</v>
      </c>
      <c r="H74" s="10">
        <f t="shared" si="15"/>
        <v>4.151547606993006</v>
      </c>
      <c r="I74" s="17">
        <f t="shared" si="19"/>
        <v>4989063.6391660217</v>
      </c>
      <c r="J74" s="17">
        <f t="shared" si="20"/>
        <v>20712335.212315515</v>
      </c>
      <c r="K74" s="10">
        <f t="shared" si="16"/>
        <v>13.36730061474837</v>
      </c>
      <c r="L74" s="10">
        <f t="shared" si="21"/>
        <v>93.213385187079126</v>
      </c>
      <c r="M74" s="10">
        <f t="shared" si="17"/>
        <v>0.1834173167561392</v>
      </c>
      <c r="O74" s="18"/>
      <c r="Q74">
        <v>0.18341617527922199</v>
      </c>
      <c r="R74" s="10">
        <f t="shared" si="22"/>
        <v>-1.1414769172102268E-6</v>
      </c>
      <c r="T74" s="10">
        <f t="shared" si="10"/>
        <v>0.18871545082797642</v>
      </c>
      <c r="U74" s="15">
        <f t="shared" si="11"/>
        <v>0.18871545082797642</v>
      </c>
    </row>
    <row r="75" spans="1:21" x14ac:dyDescent="0.25">
      <c r="A75" t="s">
        <v>156</v>
      </c>
      <c r="B75" s="19">
        <v>7.47251594687917E-21</v>
      </c>
      <c r="C75">
        <v>1.0451015516547799</v>
      </c>
      <c r="D75" s="17">
        <v>839.47238919728102</v>
      </c>
      <c r="E75" s="10">
        <v>7.4977636864953299</v>
      </c>
      <c r="F75" s="10">
        <v>2.3261436998766598</v>
      </c>
      <c r="G75" s="10">
        <f t="shared" si="18"/>
        <v>2.5016362397642888</v>
      </c>
      <c r="H75" s="10">
        <f t="shared" si="15"/>
        <v>4.2658290513627763</v>
      </c>
      <c r="I75" s="17">
        <f t="shared" si="19"/>
        <v>5218739.7463872852</v>
      </c>
      <c r="J75" s="17">
        <f t="shared" si="20"/>
        <v>22262251.621640489</v>
      </c>
      <c r="K75" s="10">
        <f t="shared" si="16"/>
        <v>14.367583700108019</v>
      </c>
      <c r="L75" s="10">
        <f t="shared" si="21"/>
        <v>95.98528124052217</v>
      </c>
      <c r="M75" s="10">
        <f t="shared" si="17"/>
        <v>0.18887161643025863</v>
      </c>
      <c r="O75" s="18"/>
      <c r="Q75">
        <v>0.18887044100912501</v>
      </c>
      <c r="R75" s="10">
        <f t="shared" si="22"/>
        <v>-1.1754211336201248E-6</v>
      </c>
      <c r="T75" s="10">
        <f t="shared" si="10"/>
        <v>0.19408605593512612</v>
      </c>
      <c r="U75" s="15">
        <f t="shared" si="11"/>
        <v>0.19408605593512612</v>
      </c>
    </row>
    <row r="76" spans="1:21" x14ac:dyDescent="0.25">
      <c r="A76" t="s">
        <v>157</v>
      </c>
      <c r="B76" s="19">
        <v>3.8933391524122702E-22</v>
      </c>
      <c r="C76">
        <v>1.0548874484901001</v>
      </c>
      <c r="D76" s="17">
        <v>856.82044698434697</v>
      </c>
      <c r="E76" s="10">
        <v>7.4119543370813998</v>
      </c>
      <c r="F76" s="10">
        <v>2.4568754739556802</v>
      </c>
      <c r="G76" s="10">
        <f t="shared" si="18"/>
        <v>2.5344796519087134</v>
      </c>
      <c r="H76" s="10">
        <f t="shared" si="15"/>
        <v>4.3705609505439549</v>
      </c>
      <c r="I76" s="17">
        <f t="shared" si="19"/>
        <v>5445067.0647676848</v>
      </c>
      <c r="J76" s="17">
        <f t="shared" si="20"/>
        <v>23797997.486366633</v>
      </c>
      <c r="K76" s="10">
        <f t="shared" si="16"/>
        <v>15.358721417377327</v>
      </c>
      <c r="L76" s="10">
        <f t="shared" si="21"/>
        <v>98.610451011149848</v>
      </c>
      <c r="M76" s="10">
        <f t="shared" si="17"/>
        <v>0.19403720069041061</v>
      </c>
      <c r="O76" s="18"/>
      <c r="Q76">
        <v>0.19403599312184799</v>
      </c>
      <c r="R76" s="10">
        <f t="shared" si="22"/>
        <v>-1.2075685626167232E-6</v>
      </c>
      <c r="T76" s="10">
        <f t="shared" si="10"/>
        <v>0.19917482475056747</v>
      </c>
      <c r="U76" s="15">
        <f t="shared" si="11"/>
        <v>0.19917482475056747</v>
      </c>
    </row>
    <row r="77" spans="1:21" x14ac:dyDescent="0.25">
      <c r="A77" t="s">
        <v>158</v>
      </c>
      <c r="B77" s="19">
        <v>1.03291220908104E-23</v>
      </c>
      <c r="C77">
        <v>1.07201276795192</v>
      </c>
      <c r="D77" s="17">
        <v>887.21366419607295</v>
      </c>
      <c r="E77" s="10">
        <v>7.3007230437993798</v>
      </c>
      <c r="F77" s="10">
        <v>2.7069480297021</v>
      </c>
      <c r="G77" s="10">
        <f t="shared" si="18"/>
        <v>2.5716006121120198</v>
      </c>
      <c r="H77" s="10">
        <f t="shared" si="15"/>
        <v>4.5193484014103635</v>
      </c>
      <c r="I77" s="17">
        <f t="shared" si="19"/>
        <v>5829404.1505698161</v>
      </c>
      <c r="J77" s="17">
        <f t="shared" si="20"/>
        <v>26345108.329052638</v>
      </c>
      <c r="K77" s="10">
        <f t="shared" si="16"/>
        <v>17.002572580669817</v>
      </c>
      <c r="L77" s="10">
        <f t="shared" si="21"/>
        <v>102.80561660217347</v>
      </c>
      <c r="M77" s="10">
        <f t="shared" si="17"/>
        <v>0.20229208827451581</v>
      </c>
      <c r="O77" s="18"/>
      <c r="Q77">
        <v>0.20229082933259401</v>
      </c>
      <c r="R77" s="10">
        <f t="shared" si="22"/>
        <v>-1.258941921794543E-6</v>
      </c>
      <c r="T77" s="10">
        <f t="shared" si="10"/>
        <v>0.20732112839093442</v>
      </c>
      <c r="U77" s="15">
        <f t="shared" si="11"/>
        <v>0.20732112839093442</v>
      </c>
    </row>
    <row r="78" spans="1:21" x14ac:dyDescent="0.25">
      <c r="A78" t="s">
        <v>159</v>
      </c>
      <c r="B78" s="19">
        <v>1.9740272584267899E-26</v>
      </c>
      <c r="C78">
        <v>1.09647751004022</v>
      </c>
      <c r="D78" s="17">
        <v>930.72400821300596</v>
      </c>
      <c r="E78" s="10">
        <v>7.2243399829757697</v>
      </c>
      <c r="F78" s="10">
        <v>3.1184368295240699</v>
      </c>
      <c r="G78" s="10">
        <f t="shared" si="18"/>
        <v>2.5592033264348948</v>
      </c>
      <c r="H78" s="10">
        <f t="shared" si="15"/>
        <v>4.608265961549403</v>
      </c>
      <c r="I78" s="17">
        <f t="shared" si="19"/>
        <v>6341116.0013588471</v>
      </c>
      <c r="J78" s="17">
        <f t="shared" si="20"/>
        <v>29221549.027298234</v>
      </c>
      <c r="K78" s="10">
        <f t="shared" si="16"/>
        <v>18.858966228213873</v>
      </c>
      <c r="L78" s="10">
        <f t="shared" si="21"/>
        <v>107.78825896475087</v>
      </c>
      <c r="M78" s="10">
        <f t="shared" si="17"/>
        <v>0.21209650521168869</v>
      </c>
      <c r="O78" s="18"/>
      <c r="Q78">
        <v>0.21209518525308699</v>
      </c>
      <c r="R78" s="10">
        <f t="shared" si="22"/>
        <v>-1.3199586016976461E-6</v>
      </c>
      <c r="T78" s="10">
        <f t="shared" si="10"/>
        <v>0.21706726455669317</v>
      </c>
      <c r="U78" s="15">
        <f t="shared" si="11"/>
        <v>0.21706726455669317</v>
      </c>
    </row>
    <row r="79" spans="1:21" x14ac:dyDescent="0.25">
      <c r="A79" t="s">
        <v>160</v>
      </c>
      <c r="B79" s="19">
        <v>1.5339858582833E-27</v>
      </c>
      <c r="C79">
        <v>1.1209422521285199</v>
      </c>
      <c r="D79" s="17">
        <v>974.363073942597</v>
      </c>
      <c r="E79" s="10">
        <v>7.2425578866128104</v>
      </c>
      <c r="F79" s="10">
        <v>3.6064542948665599</v>
      </c>
      <c r="G79" s="10">
        <f t="shared" si="18"/>
        <v>2.4260123249477852</v>
      </c>
      <c r="H79" s="10">
        <f t="shared" si="15"/>
        <v>4.4547898285896279</v>
      </c>
      <c r="I79" s="17">
        <f t="shared" si="19"/>
        <v>6792036.8629818708</v>
      </c>
      <c r="J79" s="17">
        <f t="shared" si="20"/>
        <v>30257096.732617442</v>
      </c>
      <c r="K79" s="10">
        <f t="shared" si="16"/>
        <v>19.527286692131625</v>
      </c>
      <c r="L79" s="10">
        <f t="shared" si="21"/>
        <v>111.41450259821754</v>
      </c>
      <c r="M79" s="10">
        <f t="shared" si="17"/>
        <v>0.21923191688909532</v>
      </c>
      <c r="O79" s="18"/>
      <c r="Q79">
        <v>0.21923055252406701</v>
      </c>
      <c r="R79" s="10">
        <f t="shared" si="22"/>
        <v>-1.3643650283168274E-6</v>
      </c>
      <c r="T79" s="10">
        <f t="shared" si="10"/>
        <v>0.22435972467181337</v>
      </c>
      <c r="U79" s="15">
        <f t="shared" si="11"/>
        <v>0.22435972467181337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2:U77"/>
  <sheetViews>
    <sheetView zoomScale="90" zoomScaleNormal="90" workbookViewId="0">
      <selection activeCell="G18" sqref="G18"/>
    </sheetView>
  </sheetViews>
  <sheetFormatPr defaultRowHeight="15" x14ac:dyDescent="0.25"/>
  <cols>
    <col min="1" max="1" width="16.42578125" customWidth="1"/>
    <col min="2" max="2" width="10.140625" customWidth="1"/>
    <col min="20" max="20" width="14.28515625" customWidth="1"/>
  </cols>
  <sheetData>
    <row r="2" spans="1:21" x14ac:dyDescent="0.25">
      <c r="A2" t="s">
        <v>162</v>
      </c>
      <c r="B2">
        <f>1-SUM(B3:B17)</f>
        <v>0.5</v>
      </c>
      <c r="O2" t="s">
        <v>224</v>
      </c>
      <c r="P2" t="s">
        <v>227</v>
      </c>
      <c r="Q2" t="s">
        <v>225</v>
      </c>
      <c r="R2" t="s">
        <v>226</v>
      </c>
      <c r="T2" s="2">
        <f>K(A2,$O$3,$P$3,$Q$3)</f>
        <v>35.072278864958932</v>
      </c>
      <c r="U2">
        <f>KMix(A2:A17,B2:B17,B2:B17,O3,Press,Q3,R3)</f>
        <v>5.7801807755636552E-3</v>
      </c>
    </row>
    <row r="3" spans="1:21" x14ac:dyDescent="0.25">
      <c r="A3" t="s">
        <v>88</v>
      </c>
      <c r="B3">
        <v>0</v>
      </c>
      <c r="C3" s="26">
        <v>1.8937015464330601E-3</v>
      </c>
      <c r="D3" s="26">
        <v>1.8937019999999999E-3</v>
      </c>
      <c r="E3" s="10">
        <v>20.5548</v>
      </c>
      <c r="F3" s="10">
        <v>2.016000032</v>
      </c>
      <c r="G3" s="10">
        <v>69.924041630000005</v>
      </c>
      <c r="H3" s="5">
        <f>G3/1000</f>
        <v>6.9924041630000003E-2</v>
      </c>
      <c r="I3" s="17">
        <v>33.439700000000002</v>
      </c>
      <c r="J3" s="27">
        <v>33.439699999999903</v>
      </c>
      <c r="K3" s="17">
        <v>13.1549997329712</v>
      </c>
      <c r="L3" s="10">
        <v>-0.12009000033140201</v>
      </c>
      <c r="N3" s="17"/>
      <c r="O3">
        <v>370</v>
      </c>
      <c r="P3">
        <v>6</v>
      </c>
      <c r="Q3">
        <v>2</v>
      </c>
      <c r="R3">
        <v>0</v>
      </c>
      <c r="T3" s="23">
        <f t="shared" ref="T3:T17" si="0">K(A3,$O$3,$P$3,$Q$3)</f>
        <v>6.0116200396694817</v>
      </c>
    </row>
    <row r="4" spans="1:21" x14ac:dyDescent="0.25">
      <c r="A4" t="s">
        <v>89</v>
      </c>
      <c r="B4">
        <v>0</v>
      </c>
      <c r="C4" s="26">
        <v>0</v>
      </c>
      <c r="D4" s="26">
        <v>0</v>
      </c>
      <c r="E4" s="10">
        <v>77.349800000000002</v>
      </c>
      <c r="F4" s="10">
        <v>28.01300049</v>
      </c>
      <c r="G4" s="10">
        <v>807.12360139999998</v>
      </c>
      <c r="H4" s="5">
        <f t="shared" ref="H4:H67" si="1">G4/1000</f>
        <v>0.80712360139999995</v>
      </c>
      <c r="I4" s="17">
        <v>126.194</v>
      </c>
      <c r="J4" s="27">
        <v>126.19399999999899</v>
      </c>
      <c r="K4" s="17">
        <v>33.943702697753899</v>
      </c>
      <c r="L4" s="10">
        <v>3.9999801665544503E-2</v>
      </c>
      <c r="T4" s="23">
        <f t="shared" si="0"/>
        <v>6.0103365724787361</v>
      </c>
    </row>
    <row r="5" spans="1:21" x14ac:dyDescent="0.25">
      <c r="A5" t="s">
        <v>90</v>
      </c>
      <c r="B5">
        <v>0</v>
      </c>
      <c r="C5" s="26">
        <v>0</v>
      </c>
      <c r="D5" s="26">
        <v>0</v>
      </c>
      <c r="E5" s="10">
        <v>81.699600000000004</v>
      </c>
      <c r="F5" s="10">
        <v>28.010900500000002</v>
      </c>
      <c r="G5" s="10">
        <v>800.13108250000005</v>
      </c>
      <c r="H5" s="5">
        <f t="shared" si="1"/>
        <v>0.80013108250000009</v>
      </c>
      <c r="I5" s="17">
        <v>132.94900000000001</v>
      </c>
      <c r="J5" s="27">
        <v>132.94899999999899</v>
      </c>
      <c r="K5" s="17">
        <v>34.987499237060497</v>
      </c>
      <c r="L5" s="10">
        <v>9.3000002205371898E-2</v>
      </c>
      <c r="T5" s="23">
        <f t="shared" si="0"/>
        <v>6.0099238653728095</v>
      </c>
    </row>
    <row r="6" spans="1:21" x14ac:dyDescent="0.25">
      <c r="A6" t="s">
        <v>91</v>
      </c>
      <c r="B6">
        <v>0</v>
      </c>
      <c r="C6" s="26">
        <v>0</v>
      </c>
      <c r="D6" s="26">
        <v>0</v>
      </c>
      <c r="E6" s="10">
        <v>90.199600000000004</v>
      </c>
      <c r="F6" s="10">
        <v>32</v>
      </c>
      <c r="G6" s="10">
        <v>1138.7375589999999</v>
      </c>
      <c r="H6" s="5">
        <f t="shared" si="1"/>
        <v>1.138737559</v>
      </c>
      <c r="I6" s="17">
        <v>154.77000000000001</v>
      </c>
      <c r="J6" s="27">
        <v>154.76999999999899</v>
      </c>
      <c r="K6" s="17">
        <v>50.800201416015597</v>
      </c>
      <c r="L6" s="10">
        <v>1.8999900668859499E-2</v>
      </c>
      <c r="T6" s="23">
        <f t="shared" si="0"/>
        <v>6.0061981253638983</v>
      </c>
    </row>
    <row r="7" spans="1:21" x14ac:dyDescent="0.25">
      <c r="A7" t="s">
        <v>92</v>
      </c>
      <c r="B7">
        <v>0</v>
      </c>
      <c r="C7" s="26">
        <v>3.5470672852781801E-3</v>
      </c>
      <c r="D7" s="26">
        <v>3.5470670000000001E-3</v>
      </c>
      <c r="E7" s="10">
        <v>111.625</v>
      </c>
      <c r="F7" s="10">
        <v>16.04290009</v>
      </c>
      <c r="G7" s="10">
        <v>299.67230560000002</v>
      </c>
      <c r="H7" s="5">
        <f t="shared" si="1"/>
        <v>0.29967230560000002</v>
      </c>
      <c r="I7" s="17">
        <v>190.69900000000001</v>
      </c>
      <c r="J7" s="27">
        <v>190.69899999999899</v>
      </c>
      <c r="K7" s="17">
        <v>46.406803131103501</v>
      </c>
      <c r="L7" s="10">
        <v>1.1498400010168599E-2</v>
      </c>
      <c r="T7" s="23">
        <f t="shared" si="0"/>
        <v>6.0041124700224398</v>
      </c>
    </row>
    <row r="8" spans="1:21" x14ac:dyDescent="0.25">
      <c r="A8" t="s">
        <v>93</v>
      </c>
      <c r="B8">
        <v>0</v>
      </c>
      <c r="C8" s="26">
        <v>0</v>
      </c>
      <c r="D8" s="26">
        <v>0</v>
      </c>
      <c r="E8" s="10">
        <v>169.399</v>
      </c>
      <c r="F8" s="10">
        <v>28.053800580000001</v>
      </c>
      <c r="G8" s="10">
        <v>383.5822344</v>
      </c>
      <c r="H8" s="5">
        <f t="shared" si="1"/>
        <v>0.3835822344</v>
      </c>
      <c r="I8" s="17">
        <v>282.35900900000001</v>
      </c>
      <c r="J8" s="27">
        <v>282.35900899999899</v>
      </c>
      <c r="K8" s="17">
        <v>50.317901611328097</v>
      </c>
      <c r="L8" s="10">
        <v>8.5000000894069699E-2</v>
      </c>
      <c r="T8" s="2">
        <f t="shared" si="0"/>
        <v>5.9883053995963023</v>
      </c>
    </row>
    <row r="9" spans="1:21" x14ac:dyDescent="0.25">
      <c r="A9" t="s">
        <v>94</v>
      </c>
      <c r="B9">
        <v>0</v>
      </c>
      <c r="C9" s="26">
        <v>1.8074291074998399E-2</v>
      </c>
      <c r="D9" s="26">
        <v>1.8074290999999999E-2</v>
      </c>
      <c r="E9" s="10">
        <v>184.55</v>
      </c>
      <c r="F9" s="10">
        <v>30.06990051</v>
      </c>
      <c r="G9" s="10">
        <v>356.01365570000002</v>
      </c>
      <c r="H9" s="5">
        <f t="shared" si="1"/>
        <v>0.35601365570000004</v>
      </c>
      <c r="I9" s="17">
        <v>305.42800999999997</v>
      </c>
      <c r="J9" s="27">
        <v>305.42800999999997</v>
      </c>
      <c r="K9" s="17">
        <v>48.8385009765625</v>
      </c>
      <c r="L9" s="10">
        <v>9.8600000143051106E-2</v>
      </c>
      <c r="T9" s="2">
        <f t="shared" si="0"/>
        <v>5.9815578579269673</v>
      </c>
    </row>
    <row r="10" spans="1:21" x14ac:dyDescent="0.25">
      <c r="A10" t="s">
        <v>95</v>
      </c>
      <c r="B10">
        <v>0</v>
      </c>
      <c r="C10" s="26">
        <v>0</v>
      </c>
      <c r="D10" s="26">
        <v>0</v>
      </c>
      <c r="E10" s="10">
        <v>194.59800999999999</v>
      </c>
      <c r="F10" s="10">
        <v>44.009700780000003</v>
      </c>
      <c r="G10" s="10">
        <v>826.10219719999998</v>
      </c>
      <c r="H10" s="5">
        <f t="shared" si="1"/>
        <v>0.8261021972</v>
      </c>
      <c r="I10" s="17">
        <v>304.10001</v>
      </c>
      <c r="J10" s="27">
        <v>304.10001</v>
      </c>
      <c r="K10" s="17">
        <v>73.699996948242202</v>
      </c>
      <c r="L10" s="10">
        <v>0.23894000053405801</v>
      </c>
      <c r="T10" s="2">
        <f t="shared" si="0"/>
        <v>5.987997040518561</v>
      </c>
    </row>
    <row r="11" spans="1:21" x14ac:dyDescent="0.25">
      <c r="A11" t="s">
        <v>96</v>
      </c>
      <c r="B11">
        <v>0</v>
      </c>
      <c r="C11" s="26">
        <v>9.9159012357036909E-4</v>
      </c>
      <c r="D11" s="26">
        <v>9.9159000000000009E-4</v>
      </c>
      <c r="E11" s="10">
        <v>213.49799999999999</v>
      </c>
      <c r="F11" s="10">
        <v>34.076000209999997</v>
      </c>
      <c r="G11" s="10">
        <v>789.1408801</v>
      </c>
      <c r="H11" s="5">
        <f t="shared" si="1"/>
        <v>0.78914088010000005</v>
      </c>
      <c r="I11" s="17">
        <v>373.6</v>
      </c>
      <c r="J11" s="27">
        <v>373.599999999999</v>
      </c>
      <c r="K11" s="17">
        <v>90.077903747558594</v>
      </c>
      <c r="L11" s="10">
        <v>8.1000000238418607E-2</v>
      </c>
      <c r="T11" s="2">
        <f t="shared" si="0"/>
        <v>5.9762839257825924</v>
      </c>
    </row>
    <row r="12" spans="1:21" x14ac:dyDescent="0.25">
      <c r="A12" t="s">
        <v>97</v>
      </c>
      <c r="B12">
        <v>0</v>
      </c>
      <c r="C12" s="26">
        <v>0</v>
      </c>
      <c r="D12" s="26">
        <v>0</v>
      </c>
      <c r="E12" s="10">
        <v>225.399</v>
      </c>
      <c r="F12" s="10">
        <v>42.080600740000001</v>
      </c>
      <c r="G12" s="10">
        <v>521.43925430000002</v>
      </c>
      <c r="H12" s="5">
        <f t="shared" si="1"/>
        <v>0.52143925430000004</v>
      </c>
      <c r="I12" s="17">
        <v>365</v>
      </c>
      <c r="J12" s="27">
        <v>365</v>
      </c>
      <c r="K12" s="17">
        <v>46.2041015625</v>
      </c>
      <c r="L12" s="10">
        <v>0.14800000190734899</v>
      </c>
      <c r="T12" s="2">
        <f t="shared" si="0"/>
        <v>5.9578779281103218</v>
      </c>
    </row>
    <row r="13" spans="1:21" x14ac:dyDescent="0.25">
      <c r="A13" s="28" t="s">
        <v>35</v>
      </c>
      <c r="B13">
        <v>0</v>
      </c>
      <c r="C13" s="26">
        <v>1.0643269295683299E-2</v>
      </c>
      <c r="D13" s="29">
        <v>1.0643269E-2</v>
      </c>
      <c r="E13" s="30">
        <v>231.048</v>
      </c>
      <c r="F13" s="30">
        <v>44.097000119999997</v>
      </c>
      <c r="G13" s="30">
        <v>507.14898110000001</v>
      </c>
      <c r="H13" s="31">
        <f t="shared" si="1"/>
        <v>0.50714898110000006</v>
      </c>
      <c r="I13" s="32">
        <v>369.89801</v>
      </c>
      <c r="J13" s="33">
        <v>369.89801</v>
      </c>
      <c r="K13" s="32">
        <v>42.566600799560497</v>
      </c>
      <c r="L13" s="30">
        <v>0.152400001883507</v>
      </c>
      <c r="T13" s="2">
        <f t="shared" si="0"/>
        <v>5.9519185539626882</v>
      </c>
    </row>
    <row r="14" spans="1:21" x14ac:dyDescent="0.25">
      <c r="A14" t="s">
        <v>98</v>
      </c>
      <c r="B14">
        <v>0</v>
      </c>
      <c r="C14" s="26">
        <v>2.0345063892222501E-2</v>
      </c>
      <c r="D14" s="26">
        <v>2.0345064E-2</v>
      </c>
      <c r="E14" s="10">
        <v>261.42000999999999</v>
      </c>
      <c r="F14" s="10">
        <v>58.124000549999998</v>
      </c>
      <c r="G14" s="10">
        <v>562.48837709999998</v>
      </c>
      <c r="H14" s="5">
        <f t="shared" si="1"/>
        <v>0.56248837709999999</v>
      </c>
      <c r="I14" s="17">
        <v>408.096</v>
      </c>
      <c r="J14" s="27">
        <v>408.096</v>
      </c>
      <c r="K14" s="17">
        <v>36.476200103759801</v>
      </c>
      <c r="L14" s="10">
        <v>0.18479000031948101</v>
      </c>
      <c r="T14" s="2">
        <f t="shared" si="0"/>
        <v>5.9198077286912998</v>
      </c>
    </row>
    <row r="15" spans="1:21" x14ac:dyDescent="0.25">
      <c r="A15" s="34" t="s">
        <v>16</v>
      </c>
      <c r="B15">
        <v>0.5</v>
      </c>
      <c r="C15" s="26">
        <v>1.22996139960864E-2</v>
      </c>
      <c r="D15" s="35">
        <v>1.2299614E-2</v>
      </c>
      <c r="E15" s="36">
        <v>272.64801030000001</v>
      </c>
      <c r="F15" s="36">
        <v>58.124000549999998</v>
      </c>
      <c r="G15" s="36">
        <v>583.76514910000003</v>
      </c>
      <c r="H15" s="37">
        <f t="shared" si="1"/>
        <v>0.58376514909999999</v>
      </c>
      <c r="I15" s="38">
        <v>425.19900000000001</v>
      </c>
      <c r="J15" s="39">
        <v>425.19899999999899</v>
      </c>
      <c r="K15" s="38">
        <v>37.966201782226598</v>
      </c>
      <c r="L15" s="36">
        <v>0.20100000500678999</v>
      </c>
      <c r="T15" s="2">
        <f t="shared" si="0"/>
        <v>5.9111622152269483</v>
      </c>
    </row>
    <row r="16" spans="1:21" x14ac:dyDescent="0.25">
      <c r="A16" t="s">
        <v>99</v>
      </c>
      <c r="B16">
        <v>0</v>
      </c>
      <c r="C16" s="26">
        <v>2.6398419339603799E-2</v>
      </c>
      <c r="D16" s="26">
        <v>2.6398418999999999E-2</v>
      </c>
      <c r="E16" s="10">
        <v>301.02802000000003</v>
      </c>
      <c r="F16" s="10">
        <v>72.151000980000006</v>
      </c>
      <c r="G16" s="10">
        <v>624.02153020000003</v>
      </c>
      <c r="H16" s="5">
        <f t="shared" si="1"/>
        <v>0.62402153020000006</v>
      </c>
      <c r="I16" s="17">
        <v>460.39800000000002</v>
      </c>
      <c r="J16" s="27">
        <v>460.397999999999</v>
      </c>
      <c r="K16" s="17">
        <v>33.335899353027301</v>
      </c>
      <c r="L16" s="10">
        <v>0.222240000963211</v>
      </c>
      <c r="T16" s="2">
        <f t="shared" si="0"/>
        <v>5.8683236778786627</v>
      </c>
    </row>
    <row r="17" spans="1:20" x14ac:dyDescent="0.25">
      <c r="A17" t="s">
        <v>100</v>
      </c>
      <c r="B17">
        <v>0</v>
      </c>
      <c r="C17" s="26">
        <v>4.2048068658483401E-2</v>
      </c>
      <c r="D17" s="26">
        <v>4.2048069E-2</v>
      </c>
      <c r="E17" s="10">
        <v>309.20900999999998</v>
      </c>
      <c r="F17" s="10">
        <v>72.151000980000006</v>
      </c>
      <c r="G17" s="10">
        <v>630.31435009999996</v>
      </c>
      <c r="H17" s="5">
        <f t="shared" si="1"/>
        <v>0.63031435009999992</v>
      </c>
      <c r="I17" s="17">
        <v>469.6</v>
      </c>
      <c r="J17" s="27">
        <v>469.599999999999</v>
      </c>
      <c r="K17" s="17">
        <v>33.7512016296387</v>
      </c>
      <c r="L17" s="10">
        <v>0.25389000773429898</v>
      </c>
      <c r="T17" s="2">
        <f t="shared" si="0"/>
        <v>5.8613122423465374</v>
      </c>
    </row>
    <row r="18" spans="1:20" x14ac:dyDescent="0.25">
      <c r="A18" t="s">
        <v>164</v>
      </c>
      <c r="C18" s="26">
        <v>4.9862983201860299E-4</v>
      </c>
      <c r="D18" s="26">
        <v>4.9863000000000002E-4</v>
      </c>
      <c r="E18" s="10">
        <v>311.14999999999998</v>
      </c>
      <c r="F18" s="10">
        <v>76.089498419999998</v>
      </c>
      <c r="G18" s="10">
        <v>615.04897089999997</v>
      </c>
      <c r="H18" s="5">
        <f t="shared" si="1"/>
        <v>0.61504897089999999</v>
      </c>
      <c r="I18" s="17">
        <v>468.73880079934702</v>
      </c>
      <c r="J18" s="27">
        <v>500.915366754763</v>
      </c>
      <c r="K18" s="17">
        <v>30.253550081558199</v>
      </c>
      <c r="L18" s="10">
        <v>0.241545828754713</v>
      </c>
      <c r="T18" s="2"/>
    </row>
    <row r="19" spans="1:20" x14ac:dyDescent="0.25">
      <c r="A19" t="s">
        <v>165</v>
      </c>
      <c r="C19" s="26">
        <v>8.0200485295975604E-3</v>
      </c>
      <c r="D19" s="26">
        <v>8.0200489999999996E-3</v>
      </c>
      <c r="E19" s="10">
        <v>318.14999999999998</v>
      </c>
      <c r="F19" s="10">
        <v>78.646036159999994</v>
      </c>
      <c r="G19" s="10">
        <v>631.80617229999996</v>
      </c>
      <c r="H19" s="5">
        <f t="shared" si="1"/>
        <v>0.63180617229999991</v>
      </c>
      <c r="I19" s="17">
        <v>478.448527536222</v>
      </c>
      <c r="J19" s="27">
        <v>510.13474383543598</v>
      </c>
      <c r="K19" s="17">
        <v>30.693223626207899</v>
      </c>
      <c r="L19" s="10">
        <v>0.25320742750877701</v>
      </c>
      <c r="T19" s="2"/>
    </row>
    <row r="20" spans="1:20" x14ac:dyDescent="0.25">
      <c r="A20" t="s">
        <v>166</v>
      </c>
      <c r="C20" s="26">
        <v>1.9461242671984302E-2</v>
      </c>
      <c r="D20" s="26">
        <v>1.9461243E-2</v>
      </c>
      <c r="E20" s="10">
        <v>328.15</v>
      </c>
      <c r="F20" s="10">
        <v>82.579624129999999</v>
      </c>
      <c r="G20" s="10">
        <v>655.15354079999997</v>
      </c>
      <c r="H20" s="5">
        <f t="shared" si="1"/>
        <v>0.65515354079999999</v>
      </c>
      <c r="I20" s="17">
        <v>492.40333702875199</v>
      </c>
      <c r="J20" s="27">
        <v>523.02962744625404</v>
      </c>
      <c r="K20" s="17">
        <v>31.2021371032316</v>
      </c>
      <c r="L20" s="10">
        <v>0.26746953843840798</v>
      </c>
      <c r="T20" s="2"/>
    </row>
    <row r="21" spans="1:20" x14ac:dyDescent="0.25">
      <c r="A21" t="s">
        <v>167</v>
      </c>
      <c r="C21" s="26">
        <v>1.44307366920771E-2</v>
      </c>
      <c r="D21" s="26">
        <v>1.4430737000000001E-2</v>
      </c>
      <c r="E21" s="10">
        <v>338.15</v>
      </c>
      <c r="F21" s="10">
        <v>86.767638109999993</v>
      </c>
      <c r="G21" s="10">
        <v>677.19178169999998</v>
      </c>
      <c r="H21" s="5">
        <f t="shared" si="1"/>
        <v>0.67719178169999994</v>
      </c>
      <c r="I21" s="17">
        <v>506.30586577472201</v>
      </c>
      <c r="J21" s="27">
        <v>535.61216411684802</v>
      </c>
      <c r="K21" s="17">
        <v>31.523310819929101</v>
      </c>
      <c r="L21" s="10">
        <v>0.27960480909208402</v>
      </c>
      <c r="T21" s="2"/>
    </row>
    <row r="22" spans="1:20" x14ac:dyDescent="0.25">
      <c r="A22" t="s">
        <v>168</v>
      </c>
      <c r="C22" s="26">
        <v>1.5168741110017101E-2</v>
      </c>
      <c r="D22" s="26">
        <v>1.5168740999999999E-2</v>
      </c>
      <c r="E22" s="10">
        <v>348.15</v>
      </c>
      <c r="F22" s="10">
        <v>91.179491139999996</v>
      </c>
      <c r="G22" s="10">
        <v>697.23949919999995</v>
      </c>
      <c r="H22" s="5">
        <f t="shared" si="1"/>
        <v>0.69723949919999995</v>
      </c>
      <c r="I22" s="17">
        <v>519.96760457360301</v>
      </c>
      <c r="J22" s="27">
        <v>548.04550286062101</v>
      </c>
      <c r="K22" s="17">
        <v>31.611672248298699</v>
      </c>
      <c r="L22" s="10">
        <v>0.29055359346197801</v>
      </c>
      <c r="T22" s="2"/>
    </row>
    <row r="23" spans="1:20" x14ac:dyDescent="0.25">
      <c r="A23" t="s">
        <v>169</v>
      </c>
      <c r="C23" s="26">
        <v>2.6853188570078901E-2</v>
      </c>
      <c r="D23" s="26">
        <v>2.6853189E-2</v>
      </c>
      <c r="E23" s="10">
        <v>358.15</v>
      </c>
      <c r="F23" s="10">
        <v>95.835239920000006</v>
      </c>
      <c r="G23" s="10">
        <v>714.61529740000003</v>
      </c>
      <c r="H23" s="5">
        <f t="shared" si="1"/>
        <v>0.71461529740000007</v>
      </c>
      <c r="I23" s="17">
        <v>533.17998116710305</v>
      </c>
      <c r="J23" s="27">
        <v>560.37828752133805</v>
      </c>
      <c r="K23" s="17">
        <v>31.4291545699697</v>
      </c>
      <c r="L23" s="10">
        <v>0.30136089442443298</v>
      </c>
      <c r="T23" s="2"/>
    </row>
    <row r="24" spans="1:20" x14ac:dyDescent="0.25">
      <c r="A24" t="s">
        <v>170</v>
      </c>
      <c r="C24" s="26">
        <v>2.7342386759158999E-2</v>
      </c>
      <c r="D24" s="26">
        <v>2.7342386999999999E-2</v>
      </c>
      <c r="E24" s="10">
        <v>368.15</v>
      </c>
      <c r="F24" s="10">
        <v>100.7964678</v>
      </c>
      <c r="G24" s="10">
        <v>728.63778049999996</v>
      </c>
      <c r="H24" s="5">
        <f t="shared" si="1"/>
        <v>0.72863778049999994</v>
      </c>
      <c r="I24" s="17">
        <v>545.71665050438196</v>
      </c>
      <c r="J24" s="27">
        <v>572.61684301728303</v>
      </c>
      <c r="K24" s="17">
        <v>30.943221941607099</v>
      </c>
      <c r="L24" s="10">
        <v>0.31311924772425997</v>
      </c>
      <c r="T24" s="2"/>
    </row>
    <row r="25" spans="1:20" x14ac:dyDescent="0.25">
      <c r="A25" t="s">
        <v>171</v>
      </c>
      <c r="C25" s="26">
        <v>4.4394572015325803E-2</v>
      </c>
      <c r="D25" s="26">
        <v>4.4394572E-2</v>
      </c>
      <c r="E25" s="10">
        <v>378.15</v>
      </c>
      <c r="F25" s="10">
        <v>106.1569868</v>
      </c>
      <c r="G25" s="10">
        <v>738.62555259999999</v>
      </c>
      <c r="H25" s="5">
        <f t="shared" si="1"/>
        <v>0.73862555259999996</v>
      </c>
      <c r="I25" s="17">
        <v>557.33542161732601</v>
      </c>
      <c r="J25" s="27">
        <v>584.73655105079501</v>
      </c>
      <c r="K25" s="17">
        <v>30.1256931109654</v>
      </c>
      <c r="L25" s="10">
        <v>0.32693899700338003</v>
      </c>
      <c r="T25" s="2"/>
    </row>
    <row r="26" spans="1:20" x14ac:dyDescent="0.25">
      <c r="A26" t="s">
        <v>172</v>
      </c>
      <c r="C26" s="26">
        <v>1.50710838638216E-2</v>
      </c>
      <c r="D26" s="26">
        <v>1.5071084E-2</v>
      </c>
      <c r="E26" s="10">
        <v>388.15</v>
      </c>
      <c r="F26" s="10">
        <v>112.03336520000001</v>
      </c>
      <c r="G26" s="10">
        <v>743.89721780000002</v>
      </c>
      <c r="H26" s="5">
        <f t="shared" si="1"/>
        <v>0.74389721780000007</v>
      </c>
      <c r="I26" s="17">
        <v>567.77988664054806</v>
      </c>
      <c r="J26" s="27">
        <v>596.68828367756896</v>
      </c>
      <c r="K26" s="17">
        <v>28.952301006804699</v>
      </c>
      <c r="L26" s="10">
        <v>0.34394109979961301</v>
      </c>
      <c r="T26" s="2"/>
    </row>
    <row r="27" spans="1:20" x14ac:dyDescent="0.25">
      <c r="A27" t="s">
        <v>173</v>
      </c>
      <c r="C27" s="26">
        <v>3.5868414455240201E-2</v>
      </c>
      <c r="D27" s="26">
        <v>3.5868414000000001E-2</v>
      </c>
      <c r="E27" s="10">
        <v>398.15</v>
      </c>
      <c r="F27" s="10">
        <v>118.3761581</v>
      </c>
      <c r="G27" s="10">
        <v>745.38989140000001</v>
      </c>
      <c r="H27" s="5">
        <f t="shared" si="1"/>
        <v>0.7453898914</v>
      </c>
      <c r="I27" s="17">
        <v>577.17644641511595</v>
      </c>
      <c r="J27" s="27">
        <v>608.40047076148596</v>
      </c>
      <c r="K27" s="17">
        <v>27.5356686198609</v>
      </c>
      <c r="L27" s="10">
        <v>0.364105856038204</v>
      </c>
      <c r="T27" s="2"/>
    </row>
    <row r="28" spans="1:20" x14ac:dyDescent="0.25">
      <c r="A28" t="s">
        <v>174</v>
      </c>
      <c r="C28" s="26">
        <v>2.6714636560508001E-2</v>
      </c>
      <c r="D28" s="26">
        <v>2.6714636999999999E-2</v>
      </c>
      <c r="E28" s="10">
        <v>408.15</v>
      </c>
      <c r="F28" s="10">
        <v>124.34297050000001</v>
      </c>
      <c r="G28" s="10">
        <v>750.97134389999997</v>
      </c>
      <c r="H28" s="5">
        <f t="shared" si="1"/>
        <v>0.75097134389999998</v>
      </c>
      <c r="I28" s="17">
        <v>587.43282882221001</v>
      </c>
      <c r="J28" s="27">
        <v>619.77570421338601</v>
      </c>
      <c r="K28" s="17">
        <v>26.523679671882501</v>
      </c>
      <c r="L28" s="10">
        <v>0.38191354445757097</v>
      </c>
      <c r="T28" s="2"/>
    </row>
    <row r="29" spans="1:20" x14ac:dyDescent="0.25">
      <c r="A29" t="s">
        <v>175</v>
      </c>
      <c r="C29" s="26">
        <v>3.2299177560243301E-2</v>
      </c>
      <c r="D29" s="26">
        <v>3.2299177999999998E-2</v>
      </c>
      <c r="E29" s="10">
        <v>418.15</v>
      </c>
      <c r="F29" s="10">
        <v>129.99457169999999</v>
      </c>
      <c r="G29" s="10">
        <v>760.04398079999999</v>
      </c>
      <c r="H29" s="5">
        <f t="shared" si="1"/>
        <v>0.76004398080000002</v>
      </c>
      <c r="I29" s="17">
        <v>598.49352469860401</v>
      </c>
      <c r="J29" s="27">
        <v>631.22338483849103</v>
      </c>
      <c r="K29" s="17">
        <v>25.8351521492276</v>
      </c>
      <c r="L29" s="10">
        <v>0.397247464190642</v>
      </c>
    </row>
    <row r="30" spans="1:20" x14ac:dyDescent="0.25">
      <c r="A30" t="s">
        <v>176</v>
      </c>
      <c r="C30" s="26">
        <v>2.7497041529152801E-2</v>
      </c>
      <c r="D30" s="26">
        <v>2.7497041999999999E-2</v>
      </c>
      <c r="E30" s="10">
        <v>428.15</v>
      </c>
      <c r="F30" s="10">
        <v>135.56851810000001</v>
      </c>
      <c r="G30" s="10">
        <v>770.5438087</v>
      </c>
      <c r="H30" s="5">
        <f t="shared" si="1"/>
        <v>0.77054380870000005</v>
      </c>
      <c r="I30" s="17">
        <v>609.88924414095402</v>
      </c>
      <c r="J30" s="27">
        <v>642.29309490041601</v>
      </c>
      <c r="K30" s="17">
        <v>25.289904909929501</v>
      </c>
      <c r="L30" s="10">
        <v>0.41136779205350399</v>
      </c>
    </row>
    <row r="31" spans="1:20" x14ac:dyDescent="0.25">
      <c r="A31" t="s">
        <v>177</v>
      </c>
      <c r="C31" s="26">
        <v>2.7870072432261601E-2</v>
      </c>
      <c r="D31" s="26">
        <v>2.7870071999999999E-2</v>
      </c>
      <c r="E31" s="10">
        <v>438.15</v>
      </c>
      <c r="F31" s="10">
        <v>141.3201253</v>
      </c>
      <c r="G31" s="10">
        <v>780.40683420000005</v>
      </c>
      <c r="H31" s="5">
        <f t="shared" si="1"/>
        <v>0.78040683420000001</v>
      </c>
      <c r="I31" s="17">
        <v>621.09059315778802</v>
      </c>
      <c r="J31" s="27">
        <v>653.25696765377097</v>
      </c>
      <c r="K31" s="17">
        <v>24.727339548921599</v>
      </c>
      <c r="L31" s="10">
        <v>0.42594574264264701</v>
      </c>
    </row>
    <row r="32" spans="1:20" x14ac:dyDescent="0.25">
      <c r="A32" t="s">
        <v>178</v>
      </c>
      <c r="C32" s="26">
        <v>2.4231410768321499E-2</v>
      </c>
      <c r="D32" s="26">
        <v>2.4231411000000001E-2</v>
      </c>
      <c r="E32" s="10">
        <v>448.15</v>
      </c>
      <c r="F32" s="10">
        <v>147.52585120000001</v>
      </c>
      <c r="G32" s="10">
        <v>787.56906400000003</v>
      </c>
      <c r="H32" s="5">
        <f t="shared" si="1"/>
        <v>0.78756906400000004</v>
      </c>
      <c r="I32" s="17">
        <v>631.513698078218</v>
      </c>
      <c r="J32" s="27">
        <v>664.09291831075802</v>
      </c>
      <c r="K32" s="17">
        <v>24.002874914160799</v>
      </c>
      <c r="L32" s="10">
        <v>0.44303061097669</v>
      </c>
    </row>
    <row r="33" spans="1:12" x14ac:dyDescent="0.25">
      <c r="A33" t="s">
        <v>179</v>
      </c>
      <c r="C33" s="26">
        <v>2.5618685537671101E-2</v>
      </c>
      <c r="D33" s="26">
        <v>2.5618686000000002E-2</v>
      </c>
      <c r="E33" s="10">
        <v>458.15</v>
      </c>
      <c r="F33" s="10">
        <v>154.4765744</v>
      </c>
      <c r="G33" s="10">
        <v>790.03089220000004</v>
      </c>
      <c r="H33" s="5">
        <f t="shared" si="1"/>
        <v>0.7900308922</v>
      </c>
      <c r="I33" s="17">
        <v>640.54341879591095</v>
      </c>
      <c r="J33" s="27">
        <v>674.768882518429</v>
      </c>
      <c r="K33" s="17">
        <v>22.991460517287699</v>
      </c>
      <c r="L33" s="10">
        <v>0.46495169913288098</v>
      </c>
    </row>
    <row r="34" spans="1:12" x14ac:dyDescent="0.25">
      <c r="A34" t="s">
        <v>180</v>
      </c>
      <c r="C34" s="26">
        <v>1.94345235929121E-2</v>
      </c>
      <c r="D34" s="26">
        <v>1.9434524000000002E-2</v>
      </c>
      <c r="E34" s="10">
        <v>468.15</v>
      </c>
      <c r="F34" s="10">
        <v>161.5141639</v>
      </c>
      <c r="G34" s="10">
        <v>793.29327790000002</v>
      </c>
      <c r="H34" s="5">
        <f t="shared" si="1"/>
        <v>0.79329327790000004</v>
      </c>
      <c r="I34" s="17">
        <v>649.69956162559004</v>
      </c>
      <c r="J34" s="27">
        <v>685.24318178093097</v>
      </c>
      <c r="K34" s="17">
        <v>22.086824426032599</v>
      </c>
      <c r="L34" s="10">
        <v>0.48660597642656001</v>
      </c>
    </row>
    <row r="35" spans="1:12" x14ac:dyDescent="0.25">
      <c r="A35" t="s">
        <v>181</v>
      </c>
      <c r="C35" s="26">
        <v>1.4882236231706701E-2</v>
      </c>
      <c r="D35" s="26">
        <v>1.4882236E-2</v>
      </c>
      <c r="E35" s="10">
        <v>478.15</v>
      </c>
      <c r="F35" s="10">
        <v>168.2411165</v>
      </c>
      <c r="G35" s="10">
        <v>800.39625620000004</v>
      </c>
      <c r="H35" s="5">
        <f t="shared" si="1"/>
        <v>0.80039625619999999</v>
      </c>
      <c r="I35" s="17">
        <v>659.90308393427699</v>
      </c>
      <c r="J35" s="27">
        <v>695.463978700148</v>
      </c>
      <c r="K35" s="17">
        <v>21.4801753215243</v>
      </c>
      <c r="L35" s="10">
        <v>0.50460389276736095</v>
      </c>
    </row>
    <row r="36" spans="1:12" x14ac:dyDescent="0.25">
      <c r="A36" t="s">
        <v>182</v>
      </c>
      <c r="C36" s="26">
        <v>1.73385578190106E-2</v>
      </c>
      <c r="D36" s="26">
        <v>1.7338558E-2</v>
      </c>
      <c r="E36" s="10">
        <v>488.15</v>
      </c>
      <c r="F36" s="10">
        <v>174.9233777</v>
      </c>
      <c r="G36" s="10">
        <v>809.15505310000003</v>
      </c>
      <c r="H36" s="5">
        <f t="shared" si="1"/>
        <v>0.80915505310000002</v>
      </c>
      <c r="I36" s="17">
        <v>670.5642033355</v>
      </c>
      <c r="J36" s="27">
        <v>705.36766771677901</v>
      </c>
      <c r="K36" s="17">
        <v>21.0110869423251</v>
      </c>
      <c r="L36" s="10">
        <v>0.52090398876202204</v>
      </c>
    </row>
    <row r="37" spans="1:12" x14ac:dyDescent="0.25">
      <c r="A37" t="s">
        <v>183</v>
      </c>
      <c r="C37" s="26">
        <v>2.11721076092245E-2</v>
      </c>
      <c r="D37" s="26">
        <v>2.1172107999999999E-2</v>
      </c>
      <c r="E37" s="10">
        <v>498.15</v>
      </c>
      <c r="F37" s="10">
        <v>181.85316069999999</v>
      </c>
      <c r="G37" s="10">
        <v>817.38489460000005</v>
      </c>
      <c r="H37" s="5">
        <f t="shared" si="1"/>
        <v>0.81738489460000008</v>
      </c>
      <c r="I37" s="17">
        <v>681.04221874593202</v>
      </c>
      <c r="J37" s="27">
        <v>715.04040162658202</v>
      </c>
      <c r="K37" s="17">
        <v>20.5340461545754</v>
      </c>
      <c r="L37" s="10">
        <v>0.53783812849115198</v>
      </c>
    </row>
    <row r="38" spans="1:12" x14ac:dyDescent="0.25">
      <c r="A38" t="s">
        <v>184</v>
      </c>
      <c r="C38" s="26">
        <v>1.8139690376562202E-2</v>
      </c>
      <c r="D38" s="26">
        <v>1.813969E-2</v>
      </c>
      <c r="E38" s="10">
        <v>508.15</v>
      </c>
      <c r="F38" s="10">
        <v>189.3582035</v>
      </c>
      <c r="G38" s="10">
        <v>822.90100689999997</v>
      </c>
      <c r="H38" s="5">
        <f t="shared" si="1"/>
        <v>0.82290100690000001</v>
      </c>
      <c r="I38" s="17">
        <v>690.64951107398895</v>
      </c>
      <c r="J38" s="27">
        <v>724.67969122414695</v>
      </c>
      <c r="K38" s="17">
        <v>19.915529951438302</v>
      </c>
      <c r="L38" s="10">
        <v>0.55808665236099697</v>
      </c>
    </row>
    <row r="39" spans="1:12" x14ac:dyDescent="0.25">
      <c r="A39" t="s">
        <v>185</v>
      </c>
      <c r="C39" s="26">
        <v>1.5803172790365101E-2</v>
      </c>
      <c r="D39" s="26">
        <v>1.5803173E-2</v>
      </c>
      <c r="E39" s="10">
        <v>518.15</v>
      </c>
      <c r="F39" s="10">
        <v>197.6992588</v>
      </c>
      <c r="G39" s="10">
        <v>824.22647949999998</v>
      </c>
      <c r="H39" s="5">
        <f t="shared" si="1"/>
        <v>0.82422647949999994</v>
      </c>
      <c r="I39" s="17">
        <v>698.87954765767597</v>
      </c>
      <c r="J39" s="27">
        <v>734.30423907090199</v>
      </c>
      <c r="K39" s="17">
        <v>19.076868459578399</v>
      </c>
      <c r="L39" s="10">
        <v>0.58381342677569203</v>
      </c>
    </row>
    <row r="40" spans="1:12" x14ac:dyDescent="0.25">
      <c r="A40" t="s">
        <v>186</v>
      </c>
      <c r="C40" s="26">
        <v>2.2931752856175699E-2</v>
      </c>
      <c r="D40" s="26">
        <v>2.2931752999999999E-2</v>
      </c>
      <c r="E40" s="10">
        <v>528.15</v>
      </c>
      <c r="F40" s="10">
        <v>206.1096991</v>
      </c>
      <c r="G40" s="10">
        <v>826.70838719999995</v>
      </c>
      <c r="H40" s="5">
        <f t="shared" si="1"/>
        <v>0.82670838719999995</v>
      </c>
      <c r="I40" s="17">
        <v>707.39633088677897</v>
      </c>
      <c r="J40" s="27">
        <v>743.92845390277103</v>
      </c>
      <c r="K40" s="17">
        <v>18.346742723620199</v>
      </c>
      <c r="L40" s="10">
        <v>0.608692884661589</v>
      </c>
    </row>
    <row r="41" spans="1:12" x14ac:dyDescent="0.25">
      <c r="A41" t="s">
        <v>187</v>
      </c>
      <c r="C41" s="26">
        <v>1.2160108451542801E-2</v>
      </c>
      <c r="D41" s="26">
        <v>1.2160107999999999E-2</v>
      </c>
      <c r="E41" s="10">
        <v>538.15</v>
      </c>
      <c r="F41" s="10">
        <v>214.4161589</v>
      </c>
      <c r="G41" s="10">
        <v>831.34767179999994</v>
      </c>
      <c r="H41" s="5">
        <f t="shared" si="1"/>
        <v>0.83134767179999991</v>
      </c>
      <c r="I41" s="17">
        <v>716.54815084153302</v>
      </c>
      <c r="J41" s="27">
        <v>753.563576212469</v>
      </c>
      <c r="K41" s="17">
        <v>17.774758577127301</v>
      </c>
      <c r="L41" s="10">
        <v>0.63124569344734505</v>
      </c>
    </row>
    <row r="42" spans="1:12" x14ac:dyDescent="0.25">
      <c r="A42" t="s">
        <v>188</v>
      </c>
      <c r="C42" s="26">
        <v>1.6425096359466301E-2</v>
      </c>
      <c r="D42" s="26">
        <v>1.6425096E-2</v>
      </c>
      <c r="E42" s="10">
        <v>548.15</v>
      </c>
      <c r="F42" s="10">
        <v>222.70304290000001</v>
      </c>
      <c r="G42" s="10">
        <v>837.4183726</v>
      </c>
      <c r="H42" s="5">
        <f t="shared" si="1"/>
        <v>0.83741837259999996</v>
      </c>
      <c r="I42" s="17">
        <v>726.12834915500196</v>
      </c>
      <c r="J42" s="27">
        <v>763.21790814545</v>
      </c>
      <c r="K42" s="17">
        <v>17.310377114903901</v>
      </c>
      <c r="L42" s="10">
        <v>0.652196524796267</v>
      </c>
    </row>
    <row r="43" spans="1:12" x14ac:dyDescent="0.25">
      <c r="A43" t="s">
        <v>189</v>
      </c>
      <c r="C43" s="26">
        <v>1.92250449352755E-2</v>
      </c>
      <c r="D43" s="26">
        <v>1.9225045E-2</v>
      </c>
      <c r="E43" s="10">
        <v>558.15</v>
      </c>
      <c r="F43" s="10">
        <v>231.06533049999999</v>
      </c>
      <c r="G43" s="10">
        <v>844.19452899999999</v>
      </c>
      <c r="H43" s="5">
        <f t="shared" si="1"/>
        <v>0.84419452900000003</v>
      </c>
      <c r="I43" s="17">
        <v>735.91542208003398</v>
      </c>
      <c r="J43" s="27">
        <v>772.89708241159201</v>
      </c>
      <c r="K43" s="17">
        <v>16.907693329730201</v>
      </c>
      <c r="L43" s="10">
        <v>0.67239968348024703</v>
      </c>
    </row>
    <row r="44" spans="1:12" x14ac:dyDescent="0.25">
      <c r="A44" t="s">
        <v>190</v>
      </c>
      <c r="C44" s="26">
        <v>1.19430685156862E-2</v>
      </c>
      <c r="D44" s="26">
        <v>1.1943069000000001E-2</v>
      </c>
      <c r="E44" s="10">
        <v>568.15</v>
      </c>
      <c r="F44" s="10">
        <v>239.6133385</v>
      </c>
      <c r="G44" s="10">
        <v>850.95018030000006</v>
      </c>
      <c r="H44" s="5">
        <f t="shared" si="1"/>
        <v>0.85095018030000003</v>
      </c>
      <c r="I44" s="17">
        <v>745.67402693728502</v>
      </c>
      <c r="J44" s="27">
        <v>782.60434846652595</v>
      </c>
      <c r="K44" s="17">
        <v>16.5243632132808</v>
      </c>
      <c r="L44" s="10">
        <v>0.69282946994821903</v>
      </c>
    </row>
    <row r="45" spans="1:12" x14ac:dyDescent="0.25">
      <c r="A45" t="s">
        <v>191</v>
      </c>
      <c r="C45" s="26">
        <v>1.5985842524788099E-2</v>
      </c>
      <c r="D45" s="26">
        <v>1.5985843E-2</v>
      </c>
      <c r="E45" s="10">
        <v>578.15</v>
      </c>
      <c r="F45" s="10">
        <v>248.476992</v>
      </c>
      <c r="G45" s="10">
        <v>856.95936589999997</v>
      </c>
      <c r="H45" s="5">
        <f t="shared" si="1"/>
        <v>0.85695936589999999</v>
      </c>
      <c r="I45" s="17">
        <v>755.15588411477495</v>
      </c>
      <c r="J45" s="27">
        <v>792.34085942309196</v>
      </c>
      <c r="K45" s="17">
        <v>16.1209384789287</v>
      </c>
      <c r="L45" s="10">
        <v>0.71457376767013503</v>
      </c>
    </row>
    <row r="46" spans="1:12" x14ac:dyDescent="0.25">
      <c r="A46" t="s">
        <v>192</v>
      </c>
      <c r="C46" s="26">
        <v>1.35236156161212E-2</v>
      </c>
      <c r="D46" s="26">
        <v>1.3523616E-2</v>
      </c>
      <c r="E46" s="10">
        <v>588.15</v>
      </c>
      <c r="F46" s="10">
        <v>257.80933729999998</v>
      </c>
      <c r="G46" s="10">
        <v>861.49612500000001</v>
      </c>
      <c r="H46" s="5">
        <f t="shared" si="1"/>
        <v>0.86149612500000006</v>
      </c>
      <c r="I46" s="17">
        <v>764.10058705015297</v>
      </c>
      <c r="J46" s="27">
        <v>802.10594812948102</v>
      </c>
      <c r="K46" s="17">
        <v>15.660676324707101</v>
      </c>
      <c r="L46" s="10">
        <v>0.73883733491057202</v>
      </c>
    </row>
    <row r="47" spans="1:12" x14ac:dyDescent="0.25">
      <c r="A47" t="s">
        <v>193</v>
      </c>
      <c r="C47" s="26">
        <v>1.97289954942544E-2</v>
      </c>
      <c r="D47" s="26">
        <v>1.9728994999999999E-2</v>
      </c>
      <c r="E47" s="10">
        <v>598.15</v>
      </c>
      <c r="F47" s="10">
        <v>267.78910910000002</v>
      </c>
      <c r="G47" s="10">
        <v>863.83449710000002</v>
      </c>
      <c r="H47" s="5">
        <f t="shared" si="1"/>
        <v>0.86383449710000004</v>
      </c>
      <c r="I47" s="17">
        <v>772.23633096421304</v>
      </c>
      <c r="J47" s="27">
        <v>811.89738519166895</v>
      </c>
      <c r="K47" s="17">
        <v>15.109883278486301</v>
      </c>
      <c r="L47" s="10">
        <v>0.76696176720350195</v>
      </c>
    </row>
    <row r="48" spans="1:12" x14ac:dyDescent="0.25">
      <c r="A48" t="s">
        <v>194</v>
      </c>
      <c r="C48" s="26">
        <v>9.3112290607825603E-3</v>
      </c>
      <c r="D48" s="26">
        <v>9.3112290000000007E-3</v>
      </c>
      <c r="E48" s="10">
        <v>608.15</v>
      </c>
      <c r="F48" s="10">
        <v>278.29920870000001</v>
      </c>
      <c r="G48" s="10">
        <v>864.76254770000003</v>
      </c>
      <c r="H48" s="5">
        <f t="shared" si="1"/>
        <v>0.86476254770000005</v>
      </c>
      <c r="I48" s="17">
        <v>779.82021274893896</v>
      </c>
      <c r="J48" s="27">
        <v>821.71161519878001</v>
      </c>
      <c r="K48" s="17">
        <v>14.5138619470034</v>
      </c>
      <c r="L48" s="10">
        <v>0.79799968032091295</v>
      </c>
    </row>
    <row r="49" spans="1:12" x14ac:dyDescent="0.25">
      <c r="A49" t="s">
        <v>195</v>
      </c>
      <c r="C49" s="26">
        <v>1.53448915736443E-2</v>
      </c>
      <c r="D49" s="26">
        <v>1.5344892000000001E-2</v>
      </c>
      <c r="E49" s="10">
        <v>618.15</v>
      </c>
      <c r="F49" s="10">
        <v>288.47197440000002</v>
      </c>
      <c r="G49" s="10">
        <v>868.33262230000003</v>
      </c>
      <c r="H49" s="5">
        <f t="shared" si="1"/>
        <v>0.86833262230000008</v>
      </c>
      <c r="I49" s="17">
        <v>788.29857152916099</v>
      </c>
      <c r="J49" s="27">
        <v>831.543969959479</v>
      </c>
      <c r="K49" s="17">
        <v>14.0727865313759</v>
      </c>
      <c r="L49" s="10">
        <v>0.82538267212593397</v>
      </c>
    </row>
    <row r="50" spans="1:12" x14ac:dyDescent="0.25">
      <c r="A50" t="s">
        <v>196</v>
      </c>
      <c r="C50" s="26">
        <v>1.11032781638494E-2</v>
      </c>
      <c r="D50" s="26">
        <v>1.1103277999999999E-2</v>
      </c>
      <c r="E50" s="10">
        <v>628.15</v>
      </c>
      <c r="F50" s="10">
        <v>298.33415239999999</v>
      </c>
      <c r="G50" s="10">
        <v>874.07963830000006</v>
      </c>
      <c r="H50" s="5">
        <f t="shared" si="1"/>
        <v>0.87407963830000002</v>
      </c>
      <c r="I50" s="17">
        <v>797.53479859703498</v>
      </c>
      <c r="J50" s="27">
        <v>841.38885922197301</v>
      </c>
      <c r="K50" s="17">
        <v>13.7555794150091</v>
      </c>
      <c r="L50" s="10">
        <v>0.84954767168160805</v>
      </c>
    </row>
    <row r="51" spans="1:12" x14ac:dyDescent="0.25">
      <c r="A51" t="s">
        <v>197</v>
      </c>
      <c r="C51" s="26">
        <v>1.41881199244325E-2</v>
      </c>
      <c r="D51" s="26">
        <v>1.418812E-2</v>
      </c>
      <c r="E51" s="10">
        <v>638.15</v>
      </c>
      <c r="F51" s="10">
        <v>308.00890420000002</v>
      </c>
      <c r="G51" s="10">
        <v>881.17709760000002</v>
      </c>
      <c r="H51" s="5">
        <f t="shared" si="1"/>
        <v>0.88117709760000007</v>
      </c>
      <c r="I51" s="17">
        <v>807.251056603856</v>
      </c>
      <c r="J51" s="27">
        <v>851.23994025528498</v>
      </c>
      <c r="K51" s="17">
        <v>13.517540631683399</v>
      </c>
      <c r="L51" s="10">
        <v>0.87168469226339396</v>
      </c>
    </row>
    <row r="52" spans="1:12" x14ac:dyDescent="0.25">
      <c r="A52" t="s">
        <v>198</v>
      </c>
      <c r="C52" s="26">
        <v>1.3216524404201801E-2</v>
      </c>
      <c r="D52" s="26">
        <v>1.3216524E-2</v>
      </c>
      <c r="E52" s="10">
        <v>648.15</v>
      </c>
      <c r="F52" s="10">
        <v>317.64931580000001</v>
      </c>
      <c r="G52" s="10">
        <v>888.79850190000002</v>
      </c>
      <c r="H52" s="5">
        <f t="shared" si="1"/>
        <v>0.88879850189999998</v>
      </c>
      <c r="I52" s="17">
        <v>817.15644169656002</v>
      </c>
      <c r="J52" s="27">
        <v>861.09026798242598</v>
      </c>
      <c r="K52" s="17">
        <v>13.317074984997801</v>
      </c>
      <c r="L52" s="10">
        <v>0.89313607345613599</v>
      </c>
    </row>
    <row r="53" spans="1:12" x14ac:dyDescent="0.25">
      <c r="A53" t="s">
        <v>199</v>
      </c>
      <c r="C53" s="26">
        <v>1.11248455868655E-2</v>
      </c>
      <c r="D53" s="26">
        <v>1.1124846000000001E-2</v>
      </c>
      <c r="E53" s="10">
        <v>658.15</v>
      </c>
      <c r="F53" s="10">
        <v>327.44485350000002</v>
      </c>
      <c r="G53" s="10">
        <v>896.11735309999995</v>
      </c>
      <c r="H53" s="5">
        <f t="shared" si="1"/>
        <v>0.89611735309999996</v>
      </c>
      <c r="I53" s="17">
        <v>826.94768132741694</v>
      </c>
      <c r="J53" s="27">
        <v>870.93242725550499</v>
      </c>
      <c r="K53" s="17">
        <v>13.114602322644901</v>
      </c>
      <c r="L53" s="10">
        <v>0.91537289455749304</v>
      </c>
    </row>
    <row r="54" spans="1:12" x14ac:dyDescent="0.25">
      <c r="A54" t="s">
        <v>200</v>
      </c>
      <c r="C54" s="26">
        <v>7.65835049696753E-3</v>
      </c>
      <c r="D54" s="26">
        <v>7.6583500000000004E-3</v>
      </c>
      <c r="E54" s="10">
        <v>668.15</v>
      </c>
      <c r="F54" s="10">
        <v>337.62648050000001</v>
      </c>
      <c r="G54" s="10">
        <v>902.30715310000005</v>
      </c>
      <c r="H54" s="5">
        <f t="shared" si="1"/>
        <v>0.90230715310000009</v>
      </c>
      <c r="I54" s="17">
        <v>836.30976940026699</v>
      </c>
      <c r="J54" s="27">
        <v>880.75864851425001</v>
      </c>
      <c r="K54" s="17">
        <v>12.8721068468091</v>
      </c>
      <c r="L54" s="10">
        <v>0.93998942197562596</v>
      </c>
    </row>
    <row r="55" spans="1:12" x14ac:dyDescent="0.25">
      <c r="A55" t="s">
        <v>201</v>
      </c>
      <c r="C55" s="26">
        <v>1.20293872809297E-2</v>
      </c>
      <c r="D55" s="26">
        <v>1.2029387000000001E-2</v>
      </c>
      <c r="E55" s="10">
        <v>678.15</v>
      </c>
      <c r="F55" s="10">
        <v>348.47032339999998</v>
      </c>
      <c r="G55" s="10">
        <v>906.5414035</v>
      </c>
      <c r="H55" s="5">
        <f t="shared" si="1"/>
        <v>0.90654140350000001</v>
      </c>
      <c r="I55" s="17">
        <v>844.91654522156898</v>
      </c>
      <c r="J55" s="27">
        <v>890.29643246873502</v>
      </c>
      <c r="K55" s="17">
        <v>12.553390810036101</v>
      </c>
      <c r="L55" s="10">
        <v>0.96872615532217499</v>
      </c>
    </row>
    <row r="56" spans="1:12" x14ac:dyDescent="0.25">
      <c r="A56" t="s">
        <v>202</v>
      </c>
      <c r="C56" s="26">
        <v>9.8144998672742498E-3</v>
      </c>
      <c r="D56" s="26">
        <v>9.8145000000000003E-3</v>
      </c>
      <c r="E56" s="10">
        <v>688.15</v>
      </c>
      <c r="F56" s="10">
        <v>358.99250310000002</v>
      </c>
      <c r="G56" s="10">
        <v>912.21669299999996</v>
      </c>
      <c r="H56" s="5">
        <f t="shared" si="1"/>
        <v>0.91221669299999997</v>
      </c>
      <c r="I56" s="17">
        <v>854.05740157589901</v>
      </c>
      <c r="J56" s="27">
        <v>899.53179041512203</v>
      </c>
      <c r="K56" s="17">
        <v>12.313073546618099</v>
      </c>
      <c r="L56" s="10">
        <v>0.99519592369801801</v>
      </c>
    </row>
    <row r="57" spans="1:12" x14ac:dyDescent="0.25">
      <c r="A57" t="s">
        <v>203</v>
      </c>
      <c r="C57" s="26">
        <v>1.0369174824975199E-2</v>
      </c>
      <c r="D57" s="26">
        <v>1.0369175E-2</v>
      </c>
      <c r="E57" s="10">
        <v>698.15</v>
      </c>
      <c r="F57" s="10">
        <v>370.46942749999999</v>
      </c>
      <c r="G57" s="10">
        <v>915.17542070000002</v>
      </c>
      <c r="H57" s="5">
        <f t="shared" si="1"/>
        <v>0.91517542070000002</v>
      </c>
      <c r="I57" s="17">
        <v>862.13323847541005</v>
      </c>
      <c r="J57" s="27">
        <v>908.73573057265605</v>
      </c>
      <c r="K57" s="17">
        <v>11.964721838179701</v>
      </c>
      <c r="L57" s="10">
        <v>1.0275944902733001</v>
      </c>
    </row>
    <row r="58" spans="1:12" x14ac:dyDescent="0.25">
      <c r="A58" t="s">
        <v>204</v>
      </c>
      <c r="C58" s="26">
        <v>1.0123575497897001E-2</v>
      </c>
      <c r="D58" s="26">
        <v>1.0123574999999999E-2</v>
      </c>
      <c r="E58" s="10">
        <v>708.15</v>
      </c>
      <c r="F58" s="10">
        <v>381.91192899999999</v>
      </c>
      <c r="G58" s="10">
        <v>918.65655890000005</v>
      </c>
      <c r="H58" s="5">
        <f t="shared" si="1"/>
        <v>0.91865655890000009</v>
      </c>
      <c r="I58" s="17">
        <v>870.38709926504896</v>
      </c>
      <c r="J58" s="27">
        <v>917.910397938919</v>
      </c>
      <c r="K58" s="17">
        <v>11.653449212517099</v>
      </c>
      <c r="L58" s="10">
        <v>1.0596642085002701</v>
      </c>
    </row>
    <row r="59" spans="1:12" x14ac:dyDescent="0.25">
      <c r="A59" t="s">
        <v>205</v>
      </c>
      <c r="C59" s="26">
        <v>7.5661886355452204E-3</v>
      </c>
      <c r="D59" s="26">
        <v>7.5661890000000001E-3</v>
      </c>
      <c r="E59" s="10">
        <v>718.15</v>
      </c>
      <c r="F59" s="10">
        <v>393.39314350000001</v>
      </c>
      <c r="G59" s="10">
        <v>922.36464169999999</v>
      </c>
      <c r="H59" s="5">
        <f t="shared" si="1"/>
        <v>0.92236464169999999</v>
      </c>
      <c r="I59" s="17">
        <v>878.70870377300196</v>
      </c>
      <c r="J59" s="27">
        <v>927.05785379942404</v>
      </c>
      <c r="K59" s="17">
        <v>11.3649334173261</v>
      </c>
      <c r="L59" s="10">
        <v>1.09197672277186</v>
      </c>
    </row>
    <row r="60" spans="1:12" x14ac:dyDescent="0.25">
      <c r="A60" t="s">
        <v>206</v>
      </c>
      <c r="C60" s="26">
        <v>1.12919512930321E-2</v>
      </c>
      <c r="D60" s="26">
        <v>1.1291951E-2</v>
      </c>
      <c r="E60" s="10">
        <v>733.15</v>
      </c>
      <c r="F60" s="10">
        <v>410.88953309999999</v>
      </c>
      <c r="G60" s="10">
        <v>927.70595560000004</v>
      </c>
      <c r="H60" s="5">
        <f t="shared" si="1"/>
        <v>0.92770595560000002</v>
      </c>
      <c r="I60" s="17">
        <v>891.06731099505396</v>
      </c>
      <c r="J60" s="27">
        <v>940.73232939463105</v>
      </c>
      <c r="K60" s="17">
        <v>10.9455910028822</v>
      </c>
      <c r="L60" s="10">
        <v>1.14232194118396</v>
      </c>
    </row>
    <row r="61" spans="1:12" x14ac:dyDescent="0.25">
      <c r="A61" t="s">
        <v>207</v>
      </c>
      <c r="C61" s="26">
        <v>1.7426168323284901E-2</v>
      </c>
      <c r="D61" s="26">
        <v>1.7426167999999999E-2</v>
      </c>
      <c r="E61" s="10">
        <v>753.15</v>
      </c>
      <c r="F61" s="10">
        <v>435.35436490000001</v>
      </c>
      <c r="G61" s="10">
        <v>932.86433199999999</v>
      </c>
      <c r="H61" s="5">
        <f t="shared" si="1"/>
        <v>0.93286433199999996</v>
      </c>
      <c r="I61" s="17">
        <v>906.68585231134705</v>
      </c>
      <c r="J61" s="27">
        <v>958.88759231625795</v>
      </c>
      <c r="K61" s="17">
        <v>10.346866416900999</v>
      </c>
      <c r="L61" s="10">
        <v>1.2169379373887199</v>
      </c>
    </row>
    <row r="62" spans="1:12" x14ac:dyDescent="0.25">
      <c r="A62" t="s">
        <v>208</v>
      </c>
      <c r="C62" s="26">
        <v>1.01968977654605E-2</v>
      </c>
      <c r="D62" s="26">
        <v>1.0196897999999999E-2</v>
      </c>
      <c r="E62" s="10">
        <v>773.15</v>
      </c>
      <c r="F62" s="10">
        <v>461.98325249999999</v>
      </c>
      <c r="G62" s="10">
        <v>934.19446249999999</v>
      </c>
      <c r="H62" s="5">
        <f t="shared" si="1"/>
        <v>0.93419446249999993</v>
      </c>
      <c r="I62" s="17">
        <v>920.64233180026997</v>
      </c>
      <c r="J62" s="27">
        <v>976.967342650609</v>
      </c>
      <c r="K62" s="17">
        <v>9.6455301074847402</v>
      </c>
      <c r="L62" s="10">
        <v>1.3054953926823101</v>
      </c>
    </row>
    <row r="63" spans="1:12" x14ac:dyDescent="0.25">
      <c r="A63" t="s">
        <v>209</v>
      </c>
      <c r="C63" s="26">
        <v>1.07599950480964E-2</v>
      </c>
      <c r="D63" s="26">
        <v>1.0759995E-2</v>
      </c>
      <c r="E63" s="10">
        <v>793.15</v>
      </c>
      <c r="F63" s="10">
        <v>488.70236410000001</v>
      </c>
      <c r="G63" s="10">
        <v>936.75043000000005</v>
      </c>
      <c r="H63" s="5">
        <f t="shared" si="1"/>
        <v>0.93675043000000002</v>
      </c>
      <c r="I63" s="17">
        <v>934.98693935585197</v>
      </c>
      <c r="J63" s="27">
        <v>994.98477971905299</v>
      </c>
      <c r="K63" s="17">
        <v>9.0428993020537192</v>
      </c>
      <c r="L63" s="10">
        <v>1.39680022646598</v>
      </c>
    </row>
    <row r="64" spans="1:12" x14ac:dyDescent="0.25">
      <c r="A64" t="s">
        <v>210</v>
      </c>
      <c r="C64" s="26">
        <v>9.2044893978450899E-3</v>
      </c>
      <c r="D64" s="26">
        <v>9.2044889999999997E-3</v>
      </c>
      <c r="E64" s="10">
        <v>813.15</v>
      </c>
      <c r="F64" s="10">
        <v>514.56367809999995</v>
      </c>
      <c r="G64" s="10">
        <v>942.00402250000002</v>
      </c>
      <c r="H64" s="5">
        <f t="shared" si="1"/>
        <v>0.94200402250000004</v>
      </c>
      <c r="I64" s="17">
        <v>950.37075429978302</v>
      </c>
      <c r="J64" s="27">
        <v>1012.9523100884199</v>
      </c>
      <c r="K64" s="17">
        <v>8.5823082251274396</v>
      </c>
      <c r="L64" s="10">
        <v>1.48636370924691</v>
      </c>
    </row>
    <row r="65" spans="1:12" x14ac:dyDescent="0.25">
      <c r="A65" t="s">
        <v>211</v>
      </c>
      <c r="C65" s="26">
        <v>5.6703858499611301E-3</v>
      </c>
      <c r="D65" s="26">
        <v>5.6703860000000003E-3</v>
      </c>
      <c r="E65" s="10">
        <v>833.15</v>
      </c>
      <c r="F65" s="10">
        <v>539.37959109999997</v>
      </c>
      <c r="G65" s="10">
        <v>949.61573940000005</v>
      </c>
      <c r="H65" s="5">
        <f t="shared" si="1"/>
        <v>0.9496157394000001</v>
      </c>
      <c r="I65" s="17">
        <v>966.69973258642995</v>
      </c>
      <c r="J65" s="27">
        <v>1030.8817107366799</v>
      </c>
      <c r="K65" s="17">
        <v>8.2394073031785506</v>
      </c>
      <c r="L65" s="10">
        <v>1.57413366002861</v>
      </c>
    </row>
    <row r="66" spans="1:12" x14ac:dyDescent="0.25">
      <c r="A66" t="s">
        <v>212</v>
      </c>
      <c r="C66" s="26">
        <v>7.8672020730858692E-3</v>
      </c>
      <c r="D66" s="26">
        <v>7.8672020000000002E-3</v>
      </c>
      <c r="E66" s="10">
        <v>853.15</v>
      </c>
      <c r="F66" s="10">
        <v>562.98717409999995</v>
      </c>
      <c r="G66" s="10">
        <v>959.24608030000002</v>
      </c>
      <c r="H66" s="5">
        <f t="shared" si="1"/>
        <v>0.95924608030000003</v>
      </c>
      <c r="I66" s="17">
        <v>983.869783238286</v>
      </c>
      <c r="J66" s="27">
        <v>1048.7842909032599</v>
      </c>
      <c r="K66" s="17">
        <v>7.9943445841696601</v>
      </c>
      <c r="L66" s="10">
        <v>1.6602401720268101</v>
      </c>
    </row>
    <row r="67" spans="1:12" x14ac:dyDescent="0.25">
      <c r="A67" t="s">
        <v>213</v>
      </c>
      <c r="C67" s="26">
        <v>3.1493389808014802E-3</v>
      </c>
      <c r="D67" s="26">
        <v>3.1493390000000001E-3</v>
      </c>
      <c r="E67" s="10">
        <v>873.15</v>
      </c>
      <c r="F67" s="10">
        <v>585.25811339999996</v>
      </c>
      <c r="G67" s="10">
        <v>970.55554470000004</v>
      </c>
      <c r="H67" s="5">
        <f t="shared" si="1"/>
        <v>0.97055554470000005</v>
      </c>
      <c r="I67" s="17">
        <v>1001.76755381738</v>
      </c>
      <c r="J67" s="27">
        <v>1066.6710489822001</v>
      </c>
      <c r="K67" s="17">
        <v>7.83067593929057</v>
      </c>
      <c r="L67" s="10">
        <v>1.7450341030713299</v>
      </c>
    </row>
    <row r="68" spans="1:12" x14ac:dyDescent="0.25">
      <c r="A68" t="s">
        <v>214</v>
      </c>
      <c r="C68" s="26">
        <v>5.1078551340478298E-3</v>
      </c>
      <c r="D68" s="26">
        <v>5.1078549999999997E-3</v>
      </c>
      <c r="E68" s="10">
        <v>893.15</v>
      </c>
      <c r="F68" s="10">
        <v>606.10801000000004</v>
      </c>
      <c r="G68" s="10">
        <v>983.20463210000003</v>
      </c>
      <c r="H68" s="5">
        <f t="shared" ref="H68:H77" si="2">G68/1000</f>
        <v>0.98320463209999998</v>
      </c>
      <c r="I68" s="17">
        <v>1020.27111036392</v>
      </c>
      <c r="J68" s="27">
        <v>1084.55282152359</v>
      </c>
      <c r="K68" s="17">
        <v>7.7344099569539901</v>
      </c>
      <c r="L68" s="10">
        <v>1.82911159445948</v>
      </c>
    </row>
    <row r="69" spans="1:12" x14ac:dyDescent="0.25">
      <c r="A69" t="s">
        <v>215</v>
      </c>
      <c r="C69" s="26">
        <v>2.7190508516395E-3</v>
      </c>
      <c r="D69" s="26">
        <v>2.7190510000000001E-3</v>
      </c>
      <c r="E69" s="10">
        <v>913.15</v>
      </c>
      <c r="F69" s="10">
        <v>625.5049927</v>
      </c>
      <c r="G69" s="10">
        <v>996.85384209999995</v>
      </c>
      <c r="H69" s="5">
        <f t="shared" si="2"/>
        <v>0.99685384209999994</v>
      </c>
      <c r="I69" s="17">
        <v>1039.25052798204</v>
      </c>
      <c r="J69" s="27">
        <v>1102.44042210935</v>
      </c>
      <c r="K69" s="17">
        <v>7.69317521385027</v>
      </c>
      <c r="L69" s="10">
        <v>1.9133235415391501</v>
      </c>
    </row>
    <row r="70" spans="1:12" x14ac:dyDescent="0.25">
      <c r="A70" t="s">
        <v>216</v>
      </c>
      <c r="C70" s="26">
        <v>5.9036003512512999E-3</v>
      </c>
      <c r="D70" s="26">
        <v>5.9036000000000002E-3</v>
      </c>
      <c r="E70" s="10">
        <v>933.15</v>
      </c>
      <c r="F70" s="10">
        <v>643.47763080000004</v>
      </c>
      <c r="G70" s="10">
        <v>1011.163674</v>
      </c>
      <c r="H70" s="5">
        <f t="shared" si="2"/>
        <v>1.0111636740000001</v>
      </c>
      <c r="I70" s="17">
        <v>1058.56840547811</v>
      </c>
      <c r="J70" s="27">
        <v>1120.34476853817</v>
      </c>
      <c r="K70" s="17">
        <v>7.6954937042149103</v>
      </c>
      <c r="L70" s="10">
        <v>1.99877445438206</v>
      </c>
    </row>
    <row r="71" spans="1:12" x14ac:dyDescent="0.25">
      <c r="A71" t="s">
        <v>217</v>
      </c>
      <c r="C71" s="26">
        <v>4.7334643620774303E-3</v>
      </c>
      <c r="D71" s="26">
        <v>4.7334639999999997E-3</v>
      </c>
      <c r="E71" s="10">
        <v>953.15</v>
      </c>
      <c r="F71" s="10">
        <v>660.35255400000005</v>
      </c>
      <c r="G71" s="10">
        <v>1025.5297579999999</v>
      </c>
      <c r="H71" s="5">
        <f t="shared" si="2"/>
        <v>1.0255297579999998</v>
      </c>
      <c r="I71" s="17">
        <v>1077.95930652928</v>
      </c>
      <c r="J71" s="27">
        <v>1138.2769973740899</v>
      </c>
      <c r="K71" s="17">
        <v>7.7206116151372299</v>
      </c>
      <c r="L71" s="10">
        <v>2.08800940536395</v>
      </c>
    </row>
    <row r="72" spans="1:12" x14ac:dyDescent="0.25">
      <c r="A72" t="s">
        <v>218</v>
      </c>
      <c r="C72" s="26">
        <v>5.5761943842747002E-3</v>
      </c>
      <c r="D72" s="26">
        <v>5.5761939999999996E-3</v>
      </c>
      <c r="E72" s="10">
        <v>973.15</v>
      </c>
      <c r="F72" s="10">
        <v>680.32591839999998</v>
      </c>
      <c r="G72" s="10">
        <v>1035.3156550000001</v>
      </c>
      <c r="H72" s="5">
        <f t="shared" si="2"/>
        <v>1.035315655</v>
      </c>
      <c r="I72" s="17">
        <v>1095.2860605334299</v>
      </c>
      <c r="J72" s="27">
        <v>1156.2485654708701</v>
      </c>
      <c r="K72" s="17">
        <v>7.6004249549832599</v>
      </c>
      <c r="L72" s="10">
        <v>2.2033982961888001</v>
      </c>
    </row>
    <row r="73" spans="1:12" x14ac:dyDescent="0.25">
      <c r="A73" t="s">
        <v>219</v>
      </c>
      <c r="C73" s="26">
        <v>6.1029762556733197E-3</v>
      </c>
      <c r="D73" s="26">
        <v>6.1029760000000004E-3</v>
      </c>
      <c r="E73" s="10">
        <v>993.15</v>
      </c>
      <c r="F73" s="10">
        <v>699.60126049999997</v>
      </c>
      <c r="G73" s="10">
        <v>1045.1015520000001</v>
      </c>
      <c r="H73" s="5">
        <f t="shared" si="2"/>
        <v>1.045101552</v>
      </c>
      <c r="I73" s="17">
        <v>1112.62238919728</v>
      </c>
      <c r="J73" s="27">
        <v>1174.27133857217</v>
      </c>
      <c r="K73" s="17">
        <v>7.4977636864953299</v>
      </c>
      <c r="L73" s="10">
        <v>2.3261436998766598</v>
      </c>
    </row>
    <row r="74" spans="1:12" x14ac:dyDescent="0.25">
      <c r="A74" t="s">
        <v>220</v>
      </c>
      <c r="C74" s="26">
        <v>4.2173546506774403E-3</v>
      </c>
      <c r="D74" s="26">
        <v>4.2173549999999999E-3</v>
      </c>
      <c r="E74" s="10">
        <v>1013.15</v>
      </c>
      <c r="F74" s="10">
        <v>718.11752149999995</v>
      </c>
      <c r="G74" s="10">
        <v>1054.8874479999999</v>
      </c>
      <c r="H74" s="5">
        <f t="shared" si="2"/>
        <v>1.0548874479999999</v>
      </c>
      <c r="I74" s="17">
        <v>1129.97044698435</v>
      </c>
      <c r="J74" s="27">
        <v>1192.3576675004999</v>
      </c>
      <c r="K74" s="17">
        <v>7.4119543370814096</v>
      </c>
      <c r="L74" s="10">
        <v>2.4568754739556899</v>
      </c>
    </row>
    <row r="75" spans="1:12" x14ac:dyDescent="0.25">
      <c r="A75" t="s">
        <v>221</v>
      </c>
      <c r="C75" s="26">
        <v>8.01842904363082E-3</v>
      </c>
      <c r="D75" s="26">
        <v>8.0184290000000005E-3</v>
      </c>
      <c r="E75" s="10">
        <v>1048.1500000000001</v>
      </c>
      <c r="F75" s="10">
        <v>748.51956800000005</v>
      </c>
      <c r="G75" s="10">
        <v>1072.0127680000001</v>
      </c>
      <c r="H75" s="5">
        <f t="shared" si="2"/>
        <v>1.072012768</v>
      </c>
      <c r="I75" s="17">
        <v>1160.36366419607</v>
      </c>
      <c r="J75" s="27">
        <v>1224.2008159550201</v>
      </c>
      <c r="K75" s="17">
        <v>7.3007230437993904</v>
      </c>
      <c r="L75" s="10">
        <v>2.7069480297021098</v>
      </c>
    </row>
    <row r="76" spans="1:12" x14ac:dyDescent="0.25">
      <c r="A76" t="s">
        <v>222</v>
      </c>
      <c r="C76" s="26">
        <v>2.1888695470162899E-3</v>
      </c>
      <c r="D76" s="26">
        <v>2.1888699999999999E-3</v>
      </c>
      <c r="E76" s="10">
        <v>1098.1500000000001</v>
      </c>
      <c r="F76" s="10">
        <v>787.02607590000002</v>
      </c>
      <c r="G76" s="10">
        <v>1096.4775099999999</v>
      </c>
      <c r="H76" s="5">
        <f t="shared" si="2"/>
        <v>1.0964775099999999</v>
      </c>
      <c r="I76" s="17">
        <v>1203.87400821301</v>
      </c>
      <c r="J76" s="27">
        <v>1270.2452195757901</v>
      </c>
      <c r="K76" s="17">
        <v>7.2243399829757697</v>
      </c>
      <c r="L76" s="10">
        <v>3.1184368295240699</v>
      </c>
    </row>
    <row r="77" spans="1:12" x14ac:dyDescent="0.25">
      <c r="A77" t="s">
        <v>223</v>
      </c>
      <c r="C77" s="26">
        <v>1.74074409784726E-3</v>
      </c>
      <c r="D77" s="26">
        <v>1.740744E-3</v>
      </c>
      <c r="E77" s="10">
        <v>1148.1500000000001</v>
      </c>
      <c r="F77" s="10">
        <v>819.03314079999996</v>
      </c>
      <c r="G77" s="10">
        <v>1120.9422520000001</v>
      </c>
      <c r="H77" s="5">
        <f t="shared" si="2"/>
        <v>1.1209422520000001</v>
      </c>
      <c r="I77" s="17">
        <v>1247.5130739425999</v>
      </c>
      <c r="J77" s="27">
        <v>1317.1573907397701</v>
      </c>
      <c r="K77" s="17">
        <v>7.2425578866128104</v>
      </c>
      <c r="L77" s="10">
        <v>3.6064542948665599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R33"/>
  <sheetViews>
    <sheetView zoomScale="80" zoomScaleNormal="80" workbookViewId="0">
      <selection activeCell="P13" sqref="P13"/>
    </sheetView>
  </sheetViews>
  <sheetFormatPr defaultRowHeight="15" x14ac:dyDescent="0.25"/>
  <cols>
    <col min="2" max="2" width="10.7109375" bestFit="1" customWidth="1"/>
  </cols>
  <sheetData>
    <row r="1" spans="1:18" x14ac:dyDescent="0.25">
      <c r="A1" t="s">
        <v>233</v>
      </c>
      <c r="B1" t="s">
        <v>234</v>
      </c>
      <c r="C1">
        <v>425.1</v>
      </c>
      <c r="D1" t="s">
        <v>237</v>
      </c>
    </row>
    <row r="2" spans="1:18" x14ac:dyDescent="0.25">
      <c r="B2" t="s">
        <v>235</v>
      </c>
      <c r="C2">
        <v>37.96</v>
      </c>
      <c r="D2" t="s">
        <v>236</v>
      </c>
      <c r="E2" t="s">
        <v>81</v>
      </c>
      <c r="F2">
        <v>0.20100000000000001</v>
      </c>
      <c r="G2">
        <v>1</v>
      </c>
    </row>
    <row r="3" spans="1:18" x14ac:dyDescent="0.25">
      <c r="B3" t="s">
        <v>231</v>
      </c>
      <c r="C3">
        <f>(25+275.1)/C1</f>
        <v>0.70595154081392619</v>
      </c>
    </row>
    <row r="4" spans="1:18" x14ac:dyDescent="0.25">
      <c r="B4" t="s">
        <v>232</v>
      </c>
      <c r="C4">
        <v>1</v>
      </c>
    </row>
    <row r="6" spans="1:18" x14ac:dyDescent="0.25">
      <c r="B6" s="6" t="s">
        <v>238</v>
      </c>
      <c r="C6" s="6" t="s">
        <v>232</v>
      </c>
      <c r="P6" s="6"/>
      <c r="R6" s="6"/>
    </row>
    <row r="7" spans="1:18" x14ac:dyDescent="0.25">
      <c r="B7" s="6" t="s">
        <v>231</v>
      </c>
      <c r="C7">
        <v>0.1</v>
      </c>
      <c r="D7">
        <f>C7+0.1</f>
        <v>0.2</v>
      </c>
      <c r="E7">
        <f t="shared" ref="E7:N7" si="0">D7+0.1</f>
        <v>0.30000000000000004</v>
      </c>
      <c r="F7">
        <f t="shared" si="0"/>
        <v>0.4</v>
      </c>
      <c r="G7">
        <f t="shared" si="0"/>
        <v>0.5</v>
      </c>
      <c r="H7">
        <f t="shared" si="0"/>
        <v>0.6</v>
      </c>
      <c r="I7">
        <f t="shared" si="0"/>
        <v>0.7</v>
      </c>
      <c r="J7">
        <f t="shared" si="0"/>
        <v>0.79999999999999993</v>
      </c>
      <c r="K7">
        <f t="shared" si="0"/>
        <v>0.89999999999999991</v>
      </c>
      <c r="L7">
        <f t="shared" si="0"/>
        <v>0.99999999999999989</v>
      </c>
      <c r="M7">
        <f>L7+0.1</f>
        <v>1.0999999999999999</v>
      </c>
      <c r="N7">
        <f t="shared" si="0"/>
        <v>1.2</v>
      </c>
    </row>
    <row r="8" spans="1:18" x14ac:dyDescent="0.25">
      <c r="B8">
        <v>0.3</v>
      </c>
      <c r="C8" s="26">
        <f>LK_Z($B8,C$7,$F$2,$G$2)</f>
        <v>0</v>
      </c>
      <c r="D8" s="26">
        <f t="shared" ref="D8:N8" si="1">LK_Z($B8,D$7,$F$2,$G$2)</f>
        <v>0</v>
      </c>
      <c r="E8" s="26">
        <f t="shared" si="1"/>
        <v>0</v>
      </c>
      <c r="F8" s="26">
        <f t="shared" si="1"/>
        <v>0</v>
      </c>
      <c r="G8" s="26">
        <f t="shared" si="1"/>
        <v>0</v>
      </c>
      <c r="H8" s="26">
        <f t="shared" si="1"/>
        <v>0</v>
      </c>
      <c r="I8" s="26">
        <f t="shared" si="1"/>
        <v>0</v>
      </c>
      <c r="J8" s="26">
        <f t="shared" si="1"/>
        <v>0</v>
      </c>
      <c r="K8" s="26">
        <f t="shared" si="1"/>
        <v>0</v>
      </c>
      <c r="L8" s="26">
        <f t="shared" si="1"/>
        <v>0</v>
      </c>
      <c r="M8" s="26">
        <f t="shared" si="1"/>
        <v>0</v>
      </c>
      <c r="N8" s="26">
        <f t="shared" si="1"/>
        <v>0</v>
      </c>
    </row>
    <row r="9" spans="1:18" x14ac:dyDescent="0.25">
      <c r="B9">
        <f>B8+0.1</f>
        <v>0.4</v>
      </c>
      <c r="C9" s="26">
        <f t="shared" ref="C9:N18" si="2">LK_Z($B9,C$7,$F$2,$G$2)</f>
        <v>0</v>
      </c>
      <c r="D9" s="26">
        <f t="shared" si="2"/>
        <v>0</v>
      </c>
      <c r="E9" s="26">
        <f t="shared" si="2"/>
        <v>0</v>
      </c>
      <c r="F9" s="26">
        <f t="shared" si="2"/>
        <v>0</v>
      </c>
      <c r="G9" s="26">
        <f t="shared" si="2"/>
        <v>0</v>
      </c>
      <c r="H9" s="26">
        <f t="shared" si="2"/>
        <v>0</v>
      </c>
      <c r="I9" s="26">
        <f t="shared" si="2"/>
        <v>0</v>
      </c>
      <c r="J9" s="26">
        <f t="shared" si="2"/>
        <v>0</v>
      </c>
      <c r="K9" s="26">
        <f t="shared" si="2"/>
        <v>0</v>
      </c>
      <c r="L9" s="26">
        <f t="shared" si="2"/>
        <v>0</v>
      </c>
      <c r="M9" s="26">
        <f t="shared" si="2"/>
        <v>0</v>
      </c>
      <c r="N9" s="26">
        <f t="shared" si="2"/>
        <v>0</v>
      </c>
    </row>
    <row r="10" spans="1:18" x14ac:dyDescent="0.25">
      <c r="B10">
        <f t="shared" ref="B10:B18" si="3">B9+0.1</f>
        <v>0.5</v>
      </c>
      <c r="C10" s="26">
        <f t="shared" si="2"/>
        <v>0</v>
      </c>
      <c r="D10" s="26">
        <f t="shared" si="2"/>
        <v>0</v>
      </c>
      <c r="E10" s="26">
        <f t="shared" si="2"/>
        <v>0</v>
      </c>
      <c r="F10" s="26">
        <f t="shared" si="2"/>
        <v>0</v>
      </c>
      <c r="G10" s="26">
        <f t="shared" si="2"/>
        <v>0</v>
      </c>
      <c r="H10" s="26">
        <f t="shared" si="2"/>
        <v>0</v>
      </c>
      <c r="I10" s="26">
        <f t="shared" si="2"/>
        <v>0</v>
      </c>
      <c r="J10" s="26">
        <f t="shared" si="2"/>
        <v>0</v>
      </c>
      <c r="K10" s="26">
        <f t="shared" si="2"/>
        <v>0</v>
      </c>
      <c r="L10" s="26">
        <f t="shared" si="2"/>
        <v>0</v>
      </c>
      <c r="M10" s="26">
        <f t="shared" si="2"/>
        <v>0</v>
      </c>
      <c r="N10" s="26">
        <f t="shared" si="2"/>
        <v>0</v>
      </c>
    </row>
    <row r="11" spans="1:18" x14ac:dyDescent="0.25">
      <c r="B11">
        <f t="shared" si="3"/>
        <v>0.6</v>
      </c>
      <c r="C11" s="26">
        <f t="shared" si="2"/>
        <v>0</v>
      </c>
      <c r="D11" s="26">
        <f t="shared" si="2"/>
        <v>0</v>
      </c>
      <c r="E11" s="26">
        <f t="shared" si="2"/>
        <v>0</v>
      </c>
      <c r="F11" s="26">
        <f t="shared" si="2"/>
        <v>0</v>
      </c>
      <c r="G11" s="26">
        <f t="shared" si="2"/>
        <v>0</v>
      </c>
      <c r="H11" s="26">
        <f t="shared" si="2"/>
        <v>0</v>
      </c>
      <c r="I11" s="26">
        <f t="shared" si="2"/>
        <v>0</v>
      </c>
      <c r="J11" s="26">
        <f t="shared" si="2"/>
        <v>0</v>
      </c>
      <c r="K11" s="26">
        <f t="shared" si="2"/>
        <v>0</v>
      </c>
      <c r="L11" s="26">
        <f t="shared" si="2"/>
        <v>0</v>
      </c>
      <c r="M11" s="26">
        <f t="shared" si="2"/>
        <v>0</v>
      </c>
      <c r="N11" s="26">
        <f t="shared" si="2"/>
        <v>0</v>
      </c>
    </row>
    <row r="12" spans="1:18" x14ac:dyDescent="0.25">
      <c r="B12">
        <f t="shared" si="3"/>
        <v>0.7</v>
      </c>
      <c r="C12" s="26">
        <f t="shared" si="2"/>
        <v>0</v>
      </c>
      <c r="D12" s="26">
        <f t="shared" si="2"/>
        <v>0</v>
      </c>
      <c r="E12" s="26">
        <f t="shared" si="2"/>
        <v>0</v>
      </c>
      <c r="F12" s="26">
        <f t="shared" si="2"/>
        <v>0</v>
      </c>
      <c r="G12" s="26">
        <f t="shared" si="2"/>
        <v>0</v>
      </c>
      <c r="H12" s="26">
        <f t="shared" si="2"/>
        <v>0</v>
      </c>
      <c r="I12" s="26">
        <f t="shared" si="2"/>
        <v>0</v>
      </c>
      <c r="J12" s="26">
        <f t="shared" si="2"/>
        <v>0</v>
      </c>
      <c r="K12" s="26">
        <f t="shared" si="2"/>
        <v>0</v>
      </c>
      <c r="L12" s="26">
        <f>LK_Z($B12,L$7,$F$2,$G$2)</f>
        <v>0</v>
      </c>
      <c r="M12" s="26">
        <f t="shared" si="2"/>
        <v>0</v>
      </c>
      <c r="N12" s="26">
        <f t="shared" si="2"/>
        <v>0</v>
      </c>
    </row>
    <row r="13" spans="1:18" x14ac:dyDescent="0.25">
      <c r="B13">
        <f t="shared" si="3"/>
        <v>0.79999999999999993</v>
      </c>
      <c r="C13" s="26">
        <f t="shared" si="2"/>
        <v>0</v>
      </c>
      <c r="D13" s="26">
        <f t="shared" si="2"/>
        <v>0</v>
      </c>
      <c r="E13" s="26">
        <f t="shared" si="2"/>
        <v>0</v>
      </c>
      <c r="F13" s="26">
        <f t="shared" si="2"/>
        <v>0</v>
      </c>
      <c r="G13" s="26">
        <f t="shared" si="2"/>
        <v>0</v>
      </c>
      <c r="H13" s="26">
        <f t="shared" si="2"/>
        <v>0</v>
      </c>
      <c r="I13" s="26">
        <f t="shared" si="2"/>
        <v>0</v>
      </c>
      <c r="J13" s="26">
        <f t="shared" si="2"/>
        <v>0</v>
      </c>
      <c r="K13" s="26">
        <f t="shared" si="2"/>
        <v>0</v>
      </c>
      <c r="L13" s="26">
        <f>LK_Z($B13,L$7,$F$2,$G$2)</f>
        <v>0</v>
      </c>
      <c r="M13" s="26">
        <f t="shared" si="2"/>
        <v>0</v>
      </c>
      <c r="N13" s="26">
        <f t="shared" si="2"/>
        <v>0</v>
      </c>
    </row>
    <row r="14" spans="1:18" x14ac:dyDescent="0.25">
      <c r="B14">
        <f t="shared" si="3"/>
        <v>0.89999999999999991</v>
      </c>
      <c r="C14" s="26">
        <f t="shared" si="2"/>
        <v>0</v>
      </c>
      <c r="D14" s="26">
        <f t="shared" si="2"/>
        <v>0</v>
      </c>
      <c r="E14" s="26">
        <f t="shared" si="2"/>
        <v>0</v>
      </c>
      <c r="F14" s="26">
        <f t="shared" si="2"/>
        <v>0</v>
      </c>
      <c r="G14" s="26">
        <f t="shared" si="2"/>
        <v>0</v>
      </c>
      <c r="H14" s="26">
        <f t="shared" si="2"/>
        <v>0</v>
      </c>
      <c r="I14" s="26">
        <f t="shared" si="2"/>
        <v>0</v>
      </c>
      <c r="J14" s="26">
        <f t="shared" si="2"/>
        <v>0</v>
      </c>
      <c r="K14" s="26">
        <f t="shared" si="2"/>
        <v>0</v>
      </c>
      <c r="L14" s="26">
        <f t="shared" si="2"/>
        <v>0</v>
      </c>
      <c r="M14" s="26">
        <f t="shared" si="2"/>
        <v>0</v>
      </c>
      <c r="N14" s="26">
        <f t="shared" si="2"/>
        <v>0</v>
      </c>
    </row>
    <row r="15" spans="1:18" x14ac:dyDescent="0.25">
      <c r="B15">
        <f t="shared" si="3"/>
        <v>0.99999999999999989</v>
      </c>
      <c r="C15" s="26">
        <f t="shared" si="2"/>
        <v>0</v>
      </c>
      <c r="D15" s="26">
        <f t="shared" si="2"/>
        <v>0</v>
      </c>
      <c r="E15" s="26">
        <f t="shared" si="2"/>
        <v>0</v>
      </c>
      <c r="F15" s="26">
        <f t="shared" si="2"/>
        <v>0</v>
      </c>
      <c r="G15" s="26">
        <f t="shared" si="2"/>
        <v>0</v>
      </c>
      <c r="H15" s="26">
        <f t="shared" si="2"/>
        <v>0</v>
      </c>
      <c r="I15" s="26">
        <f t="shared" si="2"/>
        <v>0</v>
      </c>
      <c r="J15" s="26">
        <f t="shared" si="2"/>
        <v>0</v>
      </c>
      <c r="K15" s="26">
        <f t="shared" si="2"/>
        <v>0</v>
      </c>
      <c r="L15" s="26">
        <f t="shared" si="2"/>
        <v>0</v>
      </c>
      <c r="M15" s="26">
        <f t="shared" si="2"/>
        <v>0</v>
      </c>
      <c r="N15" s="26">
        <f t="shared" si="2"/>
        <v>0</v>
      </c>
    </row>
    <row r="16" spans="1:18" x14ac:dyDescent="0.25">
      <c r="B16">
        <f t="shared" si="3"/>
        <v>1.0999999999999999</v>
      </c>
      <c r="C16" s="26">
        <f t="shared" si="2"/>
        <v>0</v>
      </c>
      <c r="D16" s="26">
        <f t="shared" si="2"/>
        <v>0</v>
      </c>
      <c r="E16" s="26">
        <f t="shared" si="2"/>
        <v>0</v>
      </c>
      <c r="F16" s="26">
        <f t="shared" si="2"/>
        <v>0</v>
      </c>
      <c r="G16" s="26">
        <f t="shared" si="2"/>
        <v>0</v>
      </c>
      <c r="H16" s="26">
        <f t="shared" si="2"/>
        <v>0</v>
      </c>
      <c r="I16" s="26">
        <f t="shared" si="2"/>
        <v>0</v>
      </c>
      <c r="J16" s="26">
        <f t="shared" si="2"/>
        <v>0</v>
      </c>
      <c r="K16" s="26">
        <f t="shared" si="2"/>
        <v>0</v>
      </c>
      <c r="L16" s="26">
        <f t="shared" si="2"/>
        <v>0</v>
      </c>
      <c r="M16" s="26">
        <f t="shared" si="2"/>
        <v>0</v>
      </c>
      <c r="N16" s="26">
        <f t="shared" si="2"/>
        <v>0</v>
      </c>
    </row>
    <row r="17" spans="2:14" x14ac:dyDescent="0.25">
      <c r="B17">
        <f t="shared" si="3"/>
        <v>1.2</v>
      </c>
      <c r="C17" s="26">
        <f t="shared" si="2"/>
        <v>0</v>
      </c>
      <c r="D17" s="26">
        <f t="shared" si="2"/>
        <v>0</v>
      </c>
      <c r="E17" s="26">
        <f t="shared" si="2"/>
        <v>0</v>
      </c>
      <c r="F17" s="26">
        <f t="shared" si="2"/>
        <v>0</v>
      </c>
      <c r="G17" s="26">
        <f t="shared" si="2"/>
        <v>0</v>
      </c>
      <c r="H17" s="26">
        <f t="shared" si="2"/>
        <v>0</v>
      </c>
      <c r="I17" s="26">
        <f t="shared" si="2"/>
        <v>0</v>
      </c>
      <c r="J17" s="26">
        <f t="shared" si="2"/>
        <v>0</v>
      </c>
      <c r="K17" s="26">
        <f t="shared" si="2"/>
        <v>0</v>
      </c>
      <c r="L17" s="26">
        <f t="shared" si="2"/>
        <v>0</v>
      </c>
      <c r="M17" s="26">
        <f t="shared" si="2"/>
        <v>0</v>
      </c>
      <c r="N17" s="26">
        <f t="shared" si="2"/>
        <v>0</v>
      </c>
    </row>
    <row r="18" spans="2:14" x14ac:dyDescent="0.25">
      <c r="B18">
        <f t="shared" si="3"/>
        <v>1.3</v>
      </c>
      <c r="C18" s="26">
        <f t="shared" si="2"/>
        <v>0</v>
      </c>
      <c r="D18" s="26">
        <f t="shared" si="2"/>
        <v>0</v>
      </c>
      <c r="E18" s="26">
        <f t="shared" si="2"/>
        <v>0</v>
      </c>
      <c r="F18" s="26">
        <f t="shared" si="2"/>
        <v>0</v>
      </c>
      <c r="G18" s="26">
        <f t="shared" si="2"/>
        <v>0</v>
      </c>
      <c r="H18" s="26">
        <f t="shared" si="2"/>
        <v>0</v>
      </c>
      <c r="I18" s="26">
        <f t="shared" si="2"/>
        <v>0</v>
      </c>
      <c r="J18" s="26">
        <f t="shared" si="2"/>
        <v>0</v>
      </c>
      <c r="K18" s="26">
        <f t="shared" si="2"/>
        <v>0</v>
      </c>
      <c r="L18" s="26">
        <f t="shared" si="2"/>
        <v>0</v>
      </c>
      <c r="M18" s="26">
        <f t="shared" si="2"/>
        <v>0</v>
      </c>
      <c r="N18" s="26">
        <f t="shared" si="2"/>
        <v>0</v>
      </c>
    </row>
    <row r="21" spans="2:14" x14ac:dyDescent="0.25">
      <c r="B21" t="s">
        <v>239</v>
      </c>
      <c r="C21" t="s">
        <v>232</v>
      </c>
    </row>
    <row r="22" spans="2:14" x14ac:dyDescent="0.25">
      <c r="B22" t="s">
        <v>231</v>
      </c>
      <c r="C22">
        <v>0.1</v>
      </c>
      <c r="D22">
        <v>0.2</v>
      </c>
      <c r="E22">
        <v>0.30000000000000004</v>
      </c>
      <c r="F22">
        <v>0.4</v>
      </c>
      <c r="G22">
        <v>0.5</v>
      </c>
      <c r="H22">
        <v>0.6</v>
      </c>
      <c r="I22">
        <v>0.7</v>
      </c>
      <c r="J22">
        <v>0.79999999999999993</v>
      </c>
      <c r="K22">
        <v>0.89999999999999991</v>
      </c>
      <c r="L22">
        <v>0.99999999999999989</v>
      </c>
      <c r="M22">
        <v>1.0999999999999999</v>
      </c>
      <c r="N22">
        <v>1.2</v>
      </c>
    </row>
    <row r="23" spans="2:14" x14ac:dyDescent="0.25">
      <c r="B23">
        <v>0.3</v>
      </c>
      <c r="C23" t="e">
        <f>LK_HDEP(C8,$B23,C$22)</f>
        <v>#NUM!</v>
      </c>
      <c r="D23" t="e">
        <f t="shared" ref="D23:N23" si="4">LK_HDEP(D8,$B23,D$22)</f>
        <v>#NUM!</v>
      </c>
      <c r="E23" t="e">
        <f t="shared" si="4"/>
        <v>#NUM!</v>
      </c>
      <c r="F23" t="e">
        <f t="shared" si="4"/>
        <v>#NUM!</v>
      </c>
      <c r="G23" t="e">
        <f t="shared" si="4"/>
        <v>#NUM!</v>
      </c>
      <c r="H23" t="e">
        <f t="shared" si="4"/>
        <v>#NUM!</v>
      </c>
      <c r="I23" t="e">
        <f t="shared" si="4"/>
        <v>#NUM!</v>
      </c>
      <c r="J23" t="e">
        <f t="shared" si="4"/>
        <v>#NUM!</v>
      </c>
      <c r="K23" t="e">
        <f t="shared" si="4"/>
        <v>#NUM!</v>
      </c>
      <c r="L23" t="e">
        <f t="shared" si="4"/>
        <v>#NUM!</v>
      </c>
      <c r="M23" t="e">
        <f t="shared" si="4"/>
        <v>#NUM!</v>
      </c>
      <c r="N23" t="e">
        <f t="shared" si="4"/>
        <v>#NUM!</v>
      </c>
    </row>
    <row r="24" spans="2:14" x14ac:dyDescent="0.25">
      <c r="B24">
        <v>0.4</v>
      </c>
      <c r="C24" t="e">
        <f t="shared" ref="C24:N24" si="5">LK_HDEP(C9,$B24,C$22)</f>
        <v>#NUM!</v>
      </c>
      <c r="D24" t="e">
        <f t="shared" si="5"/>
        <v>#NUM!</v>
      </c>
      <c r="E24" t="e">
        <f t="shared" si="5"/>
        <v>#NUM!</v>
      </c>
      <c r="F24" t="e">
        <f t="shared" si="5"/>
        <v>#NUM!</v>
      </c>
      <c r="G24" t="e">
        <f t="shared" si="5"/>
        <v>#NUM!</v>
      </c>
      <c r="H24" t="e">
        <f t="shared" si="5"/>
        <v>#NUM!</v>
      </c>
      <c r="I24" t="e">
        <f t="shared" si="5"/>
        <v>#NUM!</v>
      </c>
      <c r="J24" t="e">
        <f t="shared" si="5"/>
        <v>#NUM!</v>
      </c>
      <c r="K24" t="e">
        <f t="shared" si="5"/>
        <v>#NUM!</v>
      </c>
      <c r="L24" t="e">
        <f t="shared" si="5"/>
        <v>#NUM!</v>
      </c>
      <c r="M24" t="e">
        <f t="shared" si="5"/>
        <v>#NUM!</v>
      </c>
      <c r="N24" t="e">
        <f t="shared" si="5"/>
        <v>#NUM!</v>
      </c>
    </row>
    <row r="25" spans="2:14" x14ac:dyDescent="0.25">
      <c r="B25">
        <v>0.5</v>
      </c>
      <c r="C25" t="e">
        <f t="shared" ref="C25:N25" si="6">LK_HDEP(C10,$B25,C$22)</f>
        <v>#NUM!</v>
      </c>
      <c r="D25" t="e">
        <f t="shared" si="6"/>
        <v>#NUM!</v>
      </c>
      <c r="E25" t="e">
        <f t="shared" si="6"/>
        <v>#NUM!</v>
      </c>
      <c r="F25" t="e">
        <f t="shared" si="6"/>
        <v>#NUM!</v>
      </c>
      <c r="G25" t="e">
        <f t="shared" si="6"/>
        <v>#NUM!</v>
      </c>
      <c r="H25" t="e">
        <f t="shared" si="6"/>
        <v>#NUM!</v>
      </c>
      <c r="I25" t="e">
        <f t="shared" si="6"/>
        <v>#NUM!</v>
      </c>
      <c r="J25" t="e">
        <f t="shared" si="6"/>
        <v>#NUM!</v>
      </c>
      <c r="K25" t="e">
        <f t="shared" si="6"/>
        <v>#NUM!</v>
      </c>
      <c r="L25" t="e">
        <f t="shared" si="6"/>
        <v>#NUM!</v>
      </c>
      <c r="M25" t="e">
        <f t="shared" si="6"/>
        <v>#NUM!</v>
      </c>
      <c r="N25" t="e">
        <f t="shared" si="6"/>
        <v>#NUM!</v>
      </c>
    </row>
    <row r="26" spans="2:14" x14ac:dyDescent="0.25">
      <c r="B26">
        <v>0.6</v>
      </c>
      <c r="C26" t="e">
        <f t="shared" ref="C26:N26" si="7">LK_HDEP(C11,$B26,C$22)</f>
        <v>#NUM!</v>
      </c>
      <c r="D26" t="e">
        <f t="shared" si="7"/>
        <v>#NUM!</v>
      </c>
      <c r="E26" t="e">
        <f t="shared" si="7"/>
        <v>#NUM!</v>
      </c>
      <c r="F26" t="e">
        <f t="shared" si="7"/>
        <v>#NUM!</v>
      </c>
      <c r="G26" t="e">
        <f t="shared" si="7"/>
        <v>#NUM!</v>
      </c>
      <c r="H26" t="e">
        <f t="shared" si="7"/>
        <v>#NUM!</v>
      </c>
      <c r="I26" t="e">
        <f t="shared" si="7"/>
        <v>#NUM!</v>
      </c>
      <c r="J26" t="e">
        <f t="shared" si="7"/>
        <v>#NUM!</v>
      </c>
      <c r="K26" t="e">
        <f t="shared" si="7"/>
        <v>#NUM!</v>
      </c>
      <c r="L26" t="e">
        <f t="shared" si="7"/>
        <v>#NUM!</v>
      </c>
      <c r="M26" t="e">
        <f t="shared" si="7"/>
        <v>#NUM!</v>
      </c>
      <c r="N26" t="e">
        <f t="shared" si="7"/>
        <v>#NUM!</v>
      </c>
    </row>
    <row r="27" spans="2:14" x14ac:dyDescent="0.25">
      <c r="B27">
        <v>0.7</v>
      </c>
      <c r="C27" t="e">
        <f t="shared" ref="C27:N27" si="8">LK_HDEP(C12,$B27,C$22)</f>
        <v>#NUM!</v>
      </c>
      <c r="D27" t="e">
        <f t="shared" si="8"/>
        <v>#NUM!</v>
      </c>
      <c r="E27" t="e">
        <f t="shared" si="8"/>
        <v>#NUM!</v>
      </c>
      <c r="F27" t="e">
        <f t="shared" si="8"/>
        <v>#NUM!</v>
      </c>
      <c r="G27" t="e">
        <f t="shared" si="8"/>
        <v>#NUM!</v>
      </c>
      <c r="H27" t="e">
        <f t="shared" si="8"/>
        <v>#NUM!</v>
      </c>
      <c r="I27" t="e">
        <f t="shared" si="8"/>
        <v>#NUM!</v>
      </c>
      <c r="J27" t="e">
        <f t="shared" si="8"/>
        <v>#NUM!</v>
      </c>
      <c r="K27" t="e">
        <f t="shared" si="8"/>
        <v>#NUM!</v>
      </c>
      <c r="L27" t="e">
        <f t="shared" si="8"/>
        <v>#NUM!</v>
      </c>
      <c r="M27" t="e">
        <f t="shared" si="8"/>
        <v>#NUM!</v>
      </c>
      <c r="N27" t="e">
        <f t="shared" si="8"/>
        <v>#NUM!</v>
      </c>
    </row>
    <row r="28" spans="2:14" x14ac:dyDescent="0.25">
      <c r="B28">
        <v>0.79999999999999993</v>
      </c>
      <c r="C28" t="e">
        <f t="shared" ref="C28:N28" si="9">LK_HDEP(C13,$B28,C$22)</f>
        <v>#NUM!</v>
      </c>
      <c r="D28" t="e">
        <f t="shared" si="9"/>
        <v>#NUM!</v>
      </c>
      <c r="E28" t="e">
        <f t="shared" si="9"/>
        <v>#NUM!</v>
      </c>
      <c r="F28" t="e">
        <f t="shared" si="9"/>
        <v>#NUM!</v>
      </c>
      <c r="G28" t="e">
        <f t="shared" si="9"/>
        <v>#NUM!</v>
      </c>
      <c r="H28" t="e">
        <f t="shared" si="9"/>
        <v>#NUM!</v>
      </c>
      <c r="I28" t="e">
        <f t="shared" si="9"/>
        <v>#NUM!</v>
      </c>
      <c r="J28" t="e">
        <f t="shared" si="9"/>
        <v>#NUM!</v>
      </c>
      <c r="K28" t="e">
        <f t="shared" si="9"/>
        <v>#NUM!</v>
      </c>
      <c r="L28" t="e">
        <f t="shared" si="9"/>
        <v>#NUM!</v>
      </c>
      <c r="M28" t="e">
        <f t="shared" si="9"/>
        <v>#NUM!</v>
      </c>
      <c r="N28" t="e">
        <f t="shared" si="9"/>
        <v>#NUM!</v>
      </c>
    </row>
    <row r="29" spans="2:14" x14ac:dyDescent="0.25">
      <c r="B29">
        <v>0.89999999999999991</v>
      </c>
      <c r="C29" t="e">
        <f t="shared" ref="C29:N29" si="10">LK_HDEP(C14,$B29,C$22)</f>
        <v>#NUM!</v>
      </c>
      <c r="D29" t="e">
        <f t="shared" si="10"/>
        <v>#NUM!</v>
      </c>
      <c r="E29" t="e">
        <f t="shared" si="10"/>
        <v>#NUM!</v>
      </c>
      <c r="F29" t="e">
        <f t="shared" si="10"/>
        <v>#NUM!</v>
      </c>
      <c r="G29" t="e">
        <f t="shared" si="10"/>
        <v>#NUM!</v>
      </c>
      <c r="H29" t="e">
        <f t="shared" si="10"/>
        <v>#NUM!</v>
      </c>
      <c r="I29" t="e">
        <f t="shared" si="10"/>
        <v>#NUM!</v>
      </c>
      <c r="J29" t="e">
        <f t="shared" si="10"/>
        <v>#NUM!</v>
      </c>
      <c r="K29" t="e">
        <f t="shared" si="10"/>
        <v>#NUM!</v>
      </c>
      <c r="L29" t="e">
        <f t="shared" si="10"/>
        <v>#NUM!</v>
      </c>
      <c r="M29" t="e">
        <f t="shared" si="10"/>
        <v>#NUM!</v>
      </c>
      <c r="N29" t="e">
        <f t="shared" si="10"/>
        <v>#NUM!</v>
      </c>
    </row>
    <row r="30" spans="2:14" x14ac:dyDescent="0.25">
      <c r="B30">
        <v>0.99999999999999989</v>
      </c>
      <c r="C30" t="e">
        <f t="shared" ref="C30:N30" si="11">LK_HDEP(C15,$B30,C$22)</f>
        <v>#NUM!</v>
      </c>
      <c r="D30" t="e">
        <f t="shared" si="11"/>
        <v>#NUM!</v>
      </c>
      <c r="E30" t="e">
        <f t="shared" si="11"/>
        <v>#NUM!</v>
      </c>
      <c r="F30" t="e">
        <f t="shared" si="11"/>
        <v>#NUM!</v>
      </c>
      <c r="G30" t="e">
        <f t="shared" si="11"/>
        <v>#NUM!</v>
      </c>
      <c r="H30" t="e">
        <f t="shared" si="11"/>
        <v>#NUM!</v>
      </c>
      <c r="I30" t="e">
        <f t="shared" si="11"/>
        <v>#NUM!</v>
      </c>
      <c r="J30" t="e">
        <f t="shared" si="11"/>
        <v>#NUM!</v>
      </c>
      <c r="K30" t="e">
        <f t="shared" si="11"/>
        <v>#NUM!</v>
      </c>
      <c r="L30" t="e">
        <f t="shared" si="11"/>
        <v>#NUM!</v>
      </c>
      <c r="M30" t="e">
        <f t="shared" si="11"/>
        <v>#NUM!</v>
      </c>
      <c r="N30" t="e">
        <f t="shared" si="11"/>
        <v>#NUM!</v>
      </c>
    </row>
    <row r="31" spans="2:14" x14ac:dyDescent="0.25">
      <c r="B31">
        <v>1.0999999999999999</v>
      </c>
      <c r="C31" t="e">
        <f t="shared" ref="C31:N31" si="12">LK_HDEP(C16,$B31,C$22)</f>
        <v>#NUM!</v>
      </c>
      <c r="D31" t="e">
        <f t="shared" si="12"/>
        <v>#NUM!</v>
      </c>
      <c r="E31" t="e">
        <f t="shared" si="12"/>
        <v>#NUM!</v>
      </c>
      <c r="F31" t="e">
        <f t="shared" si="12"/>
        <v>#NUM!</v>
      </c>
      <c r="G31" t="e">
        <f t="shared" si="12"/>
        <v>#NUM!</v>
      </c>
      <c r="H31" t="e">
        <f t="shared" si="12"/>
        <v>#NUM!</v>
      </c>
      <c r="I31" t="e">
        <f t="shared" si="12"/>
        <v>#NUM!</v>
      </c>
      <c r="J31" t="e">
        <f t="shared" si="12"/>
        <v>#NUM!</v>
      </c>
      <c r="K31" t="e">
        <f t="shared" si="12"/>
        <v>#NUM!</v>
      </c>
      <c r="L31" t="e">
        <f t="shared" si="12"/>
        <v>#NUM!</v>
      </c>
      <c r="M31" t="e">
        <f t="shared" si="12"/>
        <v>#NUM!</v>
      </c>
      <c r="N31" t="e">
        <f t="shared" si="12"/>
        <v>#NUM!</v>
      </c>
    </row>
    <row r="32" spans="2:14" x14ac:dyDescent="0.25">
      <c r="B32">
        <v>1.2</v>
      </c>
      <c r="C32" t="e">
        <f t="shared" ref="C32:N32" si="13">LK_HDEP(C17,$B32,C$22)</f>
        <v>#NUM!</v>
      </c>
      <c r="D32" t="e">
        <f t="shared" si="13"/>
        <v>#NUM!</v>
      </c>
      <c r="E32" t="e">
        <f t="shared" si="13"/>
        <v>#NUM!</v>
      </c>
      <c r="F32" t="e">
        <f t="shared" si="13"/>
        <v>#NUM!</v>
      </c>
      <c r="G32" t="e">
        <f t="shared" si="13"/>
        <v>#NUM!</v>
      </c>
      <c r="H32" t="e">
        <f t="shared" si="13"/>
        <v>#NUM!</v>
      </c>
      <c r="I32" t="e">
        <f t="shared" si="13"/>
        <v>#NUM!</v>
      </c>
      <c r="J32" t="e">
        <f t="shared" si="13"/>
        <v>#NUM!</v>
      </c>
      <c r="K32" t="e">
        <f t="shared" si="13"/>
        <v>#NUM!</v>
      </c>
      <c r="L32" t="e">
        <f t="shared" si="13"/>
        <v>#NUM!</v>
      </c>
      <c r="M32" t="e">
        <f t="shared" si="13"/>
        <v>#NUM!</v>
      </c>
      <c r="N32" t="e">
        <f t="shared" si="13"/>
        <v>#NUM!</v>
      </c>
    </row>
    <row r="33" spans="2:14" x14ac:dyDescent="0.25">
      <c r="B33">
        <v>1.3</v>
      </c>
      <c r="C33" t="e">
        <f t="shared" ref="C33:N33" si="14">LK_HDEP(C18,$B33,C$22)</f>
        <v>#NUM!</v>
      </c>
      <c r="D33" t="e">
        <f t="shared" si="14"/>
        <v>#NUM!</v>
      </c>
      <c r="E33" t="e">
        <f t="shared" si="14"/>
        <v>#NUM!</v>
      </c>
      <c r="F33" t="e">
        <f t="shared" si="14"/>
        <v>#NUM!</v>
      </c>
      <c r="G33" t="e">
        <f t="shared" si="14"/>
        <v>#NUM!</v>
      </c>
      <c r="H33" t="e">
        <f t="shared" si="14"/>
        <v>#NUM!</v>
      </c>
      <c r="I33" t="e">
        <f t="shared" si="14"/>
        <v>#NUM!</v>
      </c>
      <c r="J33" t="e">
        <f t="shared" si="14"/>
        <v>#NUM!</v>
      </c>
      <c r="K33" t="e">
        <f t="shared" si="14"/>
        <v>#NUM!</v>
      </c>
      <c r="L33" t="e">
        <f t="shared" si="14"/>
        <v>#NUM!</v>
      </c>
      <c r="M33" t="e">
        <f t="shared" si="14"/>
        <v>#NUM!</v>
      </c>
      <c r="N33" t="e">
        <f t="shared" si="14"/>
        <v>#NUM!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H47"/>
  <sheetViews>
    <sheetView zoomScale="70" zoomScaleNormal="70" workbookViewId="0">
      <selection activeCell="L26" sqref="L26"/>
    </sheetView>
  </sheetViews>
  <sheetFormatPr defaultRowHeight="15" x14ac:dyDescent="0.25"/>
  <sheetData>
    <row r="1" spans="1:34" x14ac:dyDescent="0.25">
      <c r="A1" t="s">
        <v>233</v>
      </c>
      <c r="B1" t="s">
        <v>234</v>
      </c>
      <c r="C1">
        <v>425.1</v>
      </c>
      <c r="D1" t="s">
        <v>237</v>
      </c>
    </row>
    <row r="2" spans="1:34" x14ac:dyDescent="0.25">
      <c r="B2" t="s">
        <v>235</v>
      </c>
      <c r="C2">
        <v>37.96</v>
      </c>
      <c r="D2" t="s">
        <v>236</v>
      </c>
      <c r="E2" t="s">
        <v>81</v>
      </c>
      <c r="F2">
        <v>0.20100000000000001</v>
      </c>
      <c r="G2">
        <v>1</v>
      </c>
    </row>
    <row r="3" spans="1:34" x14ac:dyDescent="0.25">
      <c r="B3" t="s">
        <v>231</v>
      </c>
      <c r="C3">
        <f>(25+275.1)/C1</f>
        <v>0.70595154081392619</v>
      </c>
      <c r="G3">
        <v>2</v>
      </c>
    </row>
    <row r="4" spans="1:34" x14ac:dyDescent="0.25">
      <c r="B4" t="s">
        <v>232</v>
      </c>
      <c r="C4">
        <v>1</v>
      </c>
    </row>
    <row r="6" spans="1:34" x14ac:dyDescent="0.25">
      <c r="B6" s="6" t="s">
        <v>238</v>
      </c>
      <c r="C6" s="6" t="s">
        <v>232</v>
      </c>
      <c r="S6" s="6" t="s">
        <v>240</v>
      </c>
      <c r="T6" s="6" t="s">
        <v>232</v>
      </c>
    </row>
    <row r="7" spans="1:34" x14ac:dyDescent="0.25">
      <c r="B7" s="6" t="s">
        <v>231</v>
      </c>
      <c r="C7">
        <v>0.01</v>
      </c>
      <c r="D7">
        <v>0.05</v>
      </c>
      <c r="E7">
        <v>0.1</v>
      </c>
      <c r="F7">
        <v>0.2</v>
      </c>
      <c r="G7">
        <v>0.4</v>
      </c>
      <c r="H7">
        <v>0.6</v>
      </c>
      <c r="I7">
        <v>0.8</v>
      </c>
      <c r="J7">
        <v>1</v>
      </c>
      <c r="K7">
        <v>1.2</v>
      </c>
      <c r="L7">
        <v>1.5</v>
      </c>
      <c r="M7">
        <v>2</v>
      </c>
      <c r="N7">
        <v>3</v>
      </c>
      <c r="O7">
        <v>5</v>
      </c>
      <c r="P7">
        <v>7</v>
      </c>
      <c r="Q7">
        <v>10</v>
      </c>
      <c r="S7" s="6" t="s">
        <v>231</v>
      </c>
      <c r="T7">
        <v>0.01</v>
      </c>
      <c r="U7">
        <v>0.05</v>
      </c>
      <c r="V7">
        <v>0.1</v>
      </c>
      <c r="W7">
        <v>0.2</v>
      </c>
      <c r="X7">
        <v>0.4</v>
      </c>
      <c r="Y7">
        <v>0.6</v>
      </c>
      <c r="Z7">
        <v>0.8</v>
      </c>
      <c r="AA7">
        <v>1</v>
      </c>
      <c r="AB7">
        <v>1.2</v>
      </c>
      <c r="AC7">
        <v>1.5</v>
      </c>
      <c r="AD7">
        <v>2</v>
      </c>
      <c r="AE7">
        <v>3</v>
      </c>
      <c r="AF7">
        <v>5</v>
      </c>
      <c r="AG7">
        <v>7</v>
      </c>
      <c r="AH7">
        <v>10</v>
      </c>
    </row>
    <row r="8" spans="1:34" x14ac:dyDescent="0.25">
      <c r="B8">
        <v>0.3</v>
      </c>
      <c r="C8" s="26">
        <f>LK_Z0($B8,C$7,$F$2,$G$2)</f>
        <v>0</v>
      </c>
      <c r="D8" s="26">
        <f t="shared" ref="D8:Q8" si="0">LK_Z0($B8,D$7,$F$2,$G$2)</f>
        <v>0</v>
      </c>
      <c r="E8" s="26">
        <f t="shared" si="0"/>
        <v>0</v>
      </c>
      <c r="F8" s="26">
        <f t="shared" si="0"/>
        <v>0</v>
      </c>
      <c r="G8" s="26">
        <f t="shared" si="0"/>
        <v>0</v>
      </c>
      <c r="H8" s="26">
        <f t="shared" si="0"/>
        <v>0</v>
      </c>
      <c r="I8" s="26">
        <f t="shared" si="0"/>
        <v>0</v>
      </c>
      <c r="J8" s="26">
        <f t="shared" si="0"/>
        <v>0</v>
      </c>
      <c r="K8" s="26">
        <f t="shared" si="0"/>
        <v>0</v>
      </c>
      <c r="L8" s="26">
        <f t="shared" si="0"/>
        <v>0</v>
      </c>
      <c r="M8" s="26">
        <f t="shared" si="0"/>
        <v>0</v>
      </c>
      <c r="N8" s="26">
        <f t="shared" si="0"/>
        <v>0</v>
      </c>
      <c r="O8" s="26">
        <f t="shared" si="0"/>
        <v>0</v>
      </c>
      <c r="P8" s="26">
        <f t="shared" si="0"/>
        <v>0</v>
      </c>
      <c r="Q8" s="26">
        <f t="shared" si="0"/>
        <v>0</v>
      </c>
      <c r="S8">
        <v>0.3</v>
      </c>
      <c r="T8" s="26">
        <f>LK_Z0($S8,T$7,$F$2,$G$3)</f>
        <v>0</v>
      </c>
      <c r="U8" s="26">
        <f t="shared" ref="U8:AG8" si="1">LK_Z0($S8,U$7,$F$2,$G$3)</f>
        <v>0</v>
      </c>
      <c r="V8" s="26">
        <f t="shared" si="1"/>
        <v>0</v>
      </c>
      <c r="W8" s="26">
        <f t="shared" si="1"/>
        <v>0</v>
      </c>
      <c r="X8" s="26">
        <f t="shared" si="1"/>
        <v>0</v>
      </c>
      <c r="Y8" s="26">
        <f t="shared" si="1"/>
        <v>0</v>
      </c>
      <c r="Z8" s="26">
        <f t="shared" si="1"/>
        <v>0</v>
      </c>
      <c r="AA8" s="26">
        <f t="shared" si="1"/>
        <v>0</v>
      </c>
      <c r="AB8" s="26">
        <f t="shared" si="1"/>
        <v>0</v>
      </c>
      <c r="AC8" s="26">
        <f t="shared" si="1"/>
        <v>0</v>
      </c>
      <c r="AD8" s="26">
        <f t="shared" si="1"/>
        <v>0</v>
      </c>
      <c r="AE8" s="26">
        <f t="shared" si="1"/>
        <v>0</v>
      </c>
      <c r="AF8" s="26">
        <f t="shared" si="1"/>
        <v>0</v>
      </c>
      <c r="AG8" s="26">
        <f t="shared" si="1"/>
        <v>0</v>
      </c>
      <c r="AH8" s="26">
        <f>LK_Z0($S8,AH$7,$F$2,$G$3)</f>
        <v>0</v>
      </c>
    </row>
    <row r="9" spans="1:34" x14ac:dyDescent="0.25">
      <c r="B9">
        <v>0.35</v>
      </c>
      <c r="C9" s="26">
        <f t="shared" ref="C9:Q24" si="2">LK_Z0($B9,C$7,$F$2,$G$2)</f>
        <v>0</v>
      </c>
      <c r="D9" s="26">
        <f t="shared" si="2"/>
        <v>0</v>
      </c>
      <c r="E9" s="26">
        <f t="shared" si="2"/>
        <v>0</v>
      </c>
      <c r="F9" s="26">
        <f t="shared" si="2"/>
        <v>0</v>
      </c>
      <c r="G9" s="26">
        <f t="shared" si="2"/>
        <v>0</v>
      </c>
      <c r="H9" s="26">
        <f t="shared" si="2"/>
        <v>0</v>
      </c>
      <c r="I9" s="26">
        <f t="shared" si="2"/>
        <v>0</v>
      </c>
      <c r="J9" s="26">
        <f t="shared" si="2"/>
        <v>0</v>
      </c>
      <c r="K9" s="26">
        <f t="shared" si="2"/>
        <v>0</v>
      </c>
      <c r="L9" s="26">
        <f t="shared" si="2"/>
        <v>0</v>
      </c>
      <c r="M9" s="26">
        <f t="shared" si="2"/>
        <v>0</v>
      </c>
      <c r="N9" s="26">
        <f t="shared" si="2"/>
        <v>0</v>
      </c>
      <c r="O9" s="26">
        <f t="shared" si="2"/>
        <v>0</v>
      </c>
      <c r="P9" s="26">
        <f t="shared" si="2"/>
        <v>0</v>
      </c>
      <c r="Q9" s="26">
        <f t="shared" si="2"/>
        <v>0</v>
      </c>
      <c r="S9">
        <v>0.35</v>
      </c>
      <c r="T9" s="26">
        <f t="shared" ref="T9:AG47" si="3">LK_Z0($S9,T$7,$F$2,$G$3)</f>
        <v>0</v>
      </c>
      <c r="U9" s="26">
        <f t="shared" si="3"/>
        <v>0</v>
      </c>
      <c r="V9" s="26">
        <f t="shared" si="3"/>
        <v>0</v>
      </c>
      <c r="W9" s="26">
        <f t="shared" si="3"/>
        <v>0</v>
      </c>
      <c r="X9" s="26">
        <f t="shared" si="3"/>
        <v>0</v>
      </c>
      <c r="Y9" s="26">
        <f t="shared" si="3"/>
        <v>0</v>
      </c>
      <c r="Z9" s="26">
        <f t="shared" si="3"/>
        <v>0</v>
      </c>
      <c r="AA9" s="26">
        <f t="shared" si="3"/>
        <v>0</v>
      </c>
      <c r="AB9" s="26">
        <f t="shared" si="3"/>
        <v>0</v>
      </c>
      <c r="AC9" s="26">
        <f t="shared" si="3"/>
        <v>0</v>
      </c>
      <c r="AD9" s="26">
        <f t="shared" si="3"/>
        <v>0</v>
      </c>
      <c r="AE9" s="26">
        <f t="shared" si="3"/>
        <v>0</v>
      </c>
      <c r="AF9" s="26">
        <f t="shared" si="3"/>
        <v>0</v>
      </c>
      <c r="AG9" s="26">
        <f t="shared" si="3"/>
        <v>0</v>
      </c>
      <c r="AH9" s="26">
        <f t="shared" ref="AH9:AH47" si="4">LK_Z0($S9,AH$7,$F$2,$G$3)</f>
        <v>0</v>
      </c>
    </row>
    <row r="10" spans="1:34" x14ac:dyDescent="0.25">
      <c r="B10">
        <v>0.4</v>
      </c>
      <c r="C10" s="26">
        <f t="shared" si="2"/>
        <v>0</v>
      </c>
      <c r="D10" s="26">
        <f t="shared" si="2"/>
        <v>0</v>
      </c>
      <c r="E10" s="26">
        <f t="shared" si="2"/>
        <v>0</v>
      </c>
      <c r="F10" s="26">
        <f t="shared" si="2"/>
        <v>0</v>
      </c>
      <c r="G10" s="26">
        <f t="shared" si="2"/>
        <v>0</v>
      </c>
      <c r="H10" s="26">
        <f t="shared" si="2"/>
        <v>0</v>
      </c>
      <c r="I10" s="26">
        <f t="shared" si="2"/>
        <v>0</v>
      </c>
      <c r="J10" s="26">
        <f t="shared" si="2"/>
        <v>0</v>
      </c>
      <c r="K10" s="26">
        <f t="shared" si="2"/>
        <v>0</v>
      </c>
      <c r="L10" s="26">
        <f t="shared" si="2"/>
        <v>0</v>
      </c>
      <c r="M10" s="26">
        <f t="shared" si="2"/>
        <v>0</v>
      </c>
      <c r="N10" s="26">
        <f t="shared" si="2"/>
        <v>0</v>
      </c>
      <c r="O10" s="26">
        <f t="shared" si="2"/>
        <v>0</v>
      </c>
      <c r="P10" s="26">
        <f t="shared" si="2"/>
        <v>0</v>
      </c>
      <c r="Q10" s="26">
        <f t="shared" si="2"/>
        <v>0</v>
      </c>
      <c r="S10">
        <v>0.4</v>
      </c>
      <c r="T10" s="26">
        <f t="shared" si="3"/>
        <v>0</v>
      </c>
      <c r="U10" s="26">
        <f t="shared" si="3"/>
        <v>0</v>
      </c>
      <c r="V10" s="26">
        <f t="shared" si="3"/>
        <v>0</v>
      </c>
      <c r="W10" s="26">
        <f t="shared" si="3"/>
        <v>0</v>
      </c>
      <c r="X10" s="26">
        <f t="shared" si="3"/>
        <v>0</v>
      </c>
      <c r="Y10" s="26">
        <f t="shared" si="3"/>
        <v>0</v>
      </c>
      <c r="Z10" s="26">
        <f t="shared" si="3"/>
        <v>0</v>
      </c>
      <c r="AA10" s="26">
        <f t="shared" si="3"/>
        <v>0</v>
      </c>
      <c r="AB10" s="26">
        <f t="shared" si="3"/>
        <v>0</v>
      </c>
      <c r="AC10" s="26">
        <f t="shared" si="3"/>
        <v>0</v>
      </c>
      <c r="AD10" s="26">
        <f t="shared" si="3"/>
        <v>0</v>
      </c>
      <c r="AE10" s="26">
        <f t="shared" si="3"/>
        <v>0</v>
      </c>
      <c r="AF10" s="26">
        <f t="shared" si="3"/>
        <v>0</v>
      </c>
      <c r="AG10" s="26">
        <f t="shared" si="3"/>
        <v>0</v>
      </c>
      <c r="AH10" s="26">
        <f t="shared" si="4"/>
        <v>0</v>
      </c>
    </row>
    <row r="11" spans="1:34" x14ac:dyDescent="0.25">
      <c r="B11">
        <v>0.45</v>
      </c>
      <c r="C11" s="26">
        <f t="shared" si="2"/>
        <v>0</v>
      </c>
      <c r="D11" s="26">
        <f t="shared" si="2"/>
        <v>0</v>
      </c>
      <c r="E11" s="26">
        <f t="shared" si="2"/>
        <v>0</v>
      </c>
      <c r="F11" s="26">
        <f t="shared" si="2"/>
        <v>0</v>
      </c>
      <c r="G11" s="26">
        <f t="shared" si="2"/>
        <v>0</v>
      </c>
      <c r="H11" s="26">
        <f t="shared" si="2"/>
        <v>0</v>
      </c>
      <c r="I11" s="26">
        <f t="shared" si="2"/>
        <v>0</v>
      </c>
      <c r="J11" s="26">
        <f t="shared" si="2"/>
        <v>0</v>
      </c>
      <c r="K11" s="26">
        <f t="shared" si="2"/>
        <v>0</v>
      </c>
      <c r="L11" s="26">
        <f t="shared" si="2"/>
        <v>0</v>
      </c>
      <c r="M11" s="26">
        <f t="shared" si="2"/>
        <v>0</v>
      </c>
      <c r="N11" s="26">
        <f t="shared" si="2"/>
        <v>0</v>
      </c>
      <c r="O11" s="26">
        <f t="shared" si="2"/>
        <v>0</v>
      </c>
      <c r="P11" s="26">
        <f t="shared" si="2"/>
        <v>0</v>
      </c>
      <c r="Q11" s="26">
        <f t="shared" si="2"/>
        <v>0</v>
      </c>
      <c r="S11">
        <v>0.45</v>
      </c>
      <c r="T11" s="26">
        <f t="shared" si="3"/>
        <v>0</v>
      </c>
      <c r="U11" s="26">
        <f t="shared" si="3"/>
        <v>0</v>
      </c>
      <c r="V11" s="26">
        <f t="shared" si="3"/>
        <v>0</v>
      </c>
      <c r="W11" s="26">
        <f t="shared" si="3"/>
        <v>0</v>
      </c>
      <c r="X11" s="26">
        <f t="shared" si="3"/>
        <v>0</v>
      </c>
      <c r="Y11" s="26">
        <f t="shared" si="3"/>
        <v>0</v>
      </c>
      <c r="Z11" s="26">
        <f t="shared" si="3"/>
        <v>0</v>
      </c>
      <c r="AA11" s="26">
        <f t="shared" si="3"/>
        <v>0</v>
      </c>
      <c r="AB11" s="26">
        <f t="shared" si="3"/>
        <v>0</v>
      </c>
      <c r="AC11" s="26">
        <f t="shared" si="3"/>
        <v>0</v>
      </c>
      <c r="AD11" s="26">
        <f t="shared" si="3"/>
        <v>0</v>
      </c>
      <c r="AE11" s="26">
        <f t="shared" si="3"/>
        <v>0</v>
      </c>
      <c r="AF11" s="26">
        <f t="shared" si="3"/>
        <v>0</v>
      </c>
      <c r="AG11" s="26">
        <f t="shared" si="3"/>
        <v>0</v>
      </c>
      <c r="AH11" s="26">
        <f t="shared" si="4"/>
        <v>0</v>
      </c>
    </row>
    <row r="12" spans="1:34" x14ac:dyDescent="0.25">
      <c r="B12">
        <v>0.5</v>
      </c>
      <c r="C12" s="26">
        <f t="shared" si="2"/>
        <v>0</v>
      </c>
      <c r="D12" s="26">
        <f t="shared" si="2"/>
        <v>0</v>
      </c>
      <c r="E12" s="26">
        <f t="shared" si="2"/>
        <v>0</v>
      </c>
      <c r="F12" s="26">
        <f t="shared" si="2"/>
        <v>0</v>
      </c>
      <c r="G12" s="26">
        <f t="shared" si="2"/>
        <v>0</v>
      </c>
      <c r="H12" s="26">
        <f t="shared" si="2"/>
        <v>0</v>
      </c>
      <c r="I12" s="26">
        <f t="shared" si="2"/>
        <v>0</v>
      </c>
      <c r="J12" s="26">
        <f t="shared" si="2"/>
        <v>0</v>
      </c>
      <c r="K12" s="26">
        <f t="shared" si="2"/>
        <v>0</v>
      </c>
      <c r="L12" s="26">
        <f t="shared" si="2"/>
        <v>0</v>
      </c>
      <c r="M12" s="26">
        <f t="shared" si="2"/>
        <v>0</v>
      </c>
      <c r="N12" s="26">
        <f t="shared" si="2"/>
        <v>0</v>
      </c>
      <c r="O12" s="26">
        <f t="shared" si="2"/>
        <v>0</v>
      </c>
      <c r="P12" s="26">
        <f t="shared" si="2"/>
        <v>0</v>
      </c>
      <c r="Q12" s="26">
        <f t="shared" si="2"/>
        <v>0</v>
      </c>
      <c r="S12">
        <v>0.5</v>
      </c>
      <c r="T12" s="26">
        <f t="shared" si="3"/>
        <v>0</v>
      </c>
      <c r="U12" s="26">
        <f t="shared" si="3"/>
        <v>0</v>
      </c>
      <c r="V12" s="26">
        <f t="shared" si="3"/>
        <v>0</v>
      </c>
      <c r="W12" s="26">
        <f t="shared" si="3"/>
        <v>0</v>
      </c>
      <c r="X12" s="26">
        <f t="shared" si="3"/>
        <v>0</v>
      </c>
      <c r="Y12" s="26">
        <f t="shared" si="3"/>
        <v>0</v>
      </c>
      <c r="Z12" s="26">
        <f t="shared" si="3"/>
        <v>0</v>
      </c>
      <c r="AA12" s="26">
        <f t="shared" si="3"/>
        <v>0</v>
      </c>
      <c r="AB12" s="26">
        <f t="shared" si="3"/>
        <v>0</v>
      </c>
      <c r="AC12" s="26">
        <f t="shared" si="3"/>
        <v>0</v>
      </c>
      <c r="AD12" s="26">
        <f t="shared" si="3"/>
        <v>0</v>
      </c>
      <c r="AE12" s="26">
        <f t="shared" si="3"/>
        <v>0</v>
      </c>
      <c r="AF12" s="26">
        <f t="shared" si="3"/>
        <v>0</v>
      </c>
      <c r="AG12" s="26">
        <f t="shared" si="3"/>
        <v>0</v>
      </c>
      <c r="AH12" s="26">
        <f t="shared" si="4"/>
        <v>0</v>
      </c>
    </row>
    <row r="13" spans="1:34" x14ac:dyDescent="0.25">
      <c r="B13">
        <v>0.55000000000000004</v>
      </c>
      <c r="C13" s="26">
        <f t="shared" si="2"/>
        <v>0</v>
      </c>
      <c r="D13" s="26">
        <f t="shared" si="2"/>
        <v>0</v>
      </c>
      <c r="E13" s="26">
        <f t="shared" si="2"/>
        <v>0</v>
      </c>
      <c r="F13" s="26">
        <f t="shared" si="2"/>
        <v>0</v>
      </c>
      <c r="G13" s="26">
        <f t="shared" si="2"/>
        <v>0</v>
      </c>
      <c r="H13" s="26">
        <f t="shared" si="2"/>
        <v>0</v>
      </c>
      <c r="I13" s="26">
        <f t="shared" si="2"/>
        <v>0</v>
      </c>
      <c r="J13" s="26">
        <f t="shared" si="2"/>
        <v>0</v>
      </c>
      <c r="K13" s="26">
        <f t="shared" si="2"/>
        <v>0</v>
      </c>
      <c r="L13" s="26">
        <f t="shared" si="2"/>
        <v>0</v>
      </c>
      <c r="M13" s="26">
        <f t="shared" si="2"/>
        <v>0</v>
      </c>
      <c r="N13" s="26">
        <f t="shared" si="2"/>
        <v>0</v>
      </c>
      <c r="O13" s="26">
        <f t="shared" si="2"/>
        <v>0</v>
      </c>
      <c r="P13" s="26">
        <f t="shared" si="2"/>
        <v>0</v>
      </c>
      <c r="Q13" s="26">
        <f t="shared" si="2"/>
        <v>0</v>
      </c>
      <c r="S13">
        <v>0.55000000000000004</v>
      </c>
      <c r="T13" s="26">
        <f t="shared" si="3"/>
        <v>0</v>
      </c>
      <c r="U13" s="26">
        <f t="shared" si="3"/>
        <v>0</v>
      </c>
      <c r="V13" s="26">
        <f t="shared" si="3"/>
        <v>0</v>
      </c>
      <c r="W13" s="26">
        <f t="shared" si="3"/>
        <v>0</v>
      </c>
      <c r="X13" s="26">
        <f t="shared" si="3"/>
        <v>0</v>
      </c>
      <c r="Y13" s="26">
        <f t="shared" si="3"/>
        <v>0</v>
      </c>
      <c r="Z13" s="26">
        <f t="shared" si="3"/>
        <v>0</v>
      </c>
      <c r="AA13" s="26">
        <f t="shared" si="3"/>
        <v>0</v>
      </c>
      <c r="AB13" s="26">
        <f t="shared" si="3"/>
        <v>0</v>
      </c>
      <c r="AC13" s="26">
        <f t="shared" si="3"/>
        <v>0</v>
      </c>
      <c r="AD13" s="26">
        <f t="shared" si="3"/>
        <v>0</v>
      </c>
      <c r="AE13" s="26">
        <f t="shared" si="3"/>
        <v>0</v>
      </c>
      <c r="AF13" s="26">
        <f t="shared" si="3"/>
        <v>0</v>
      </c>
      <c r="AG13" s="26">
        <f t="shared" si="3"/>
        <v>0</v>
      </c>
      <c r="AH13" s="26">
        <f t="shared" si="4"/>
        <v>0</v>
      </c>
    </row>
    <row r="14" spans="1:34" x14ac:dyDescent="0.25">
      <c r="B14">
        <v>0.6</v>
      </c>
      <c r="C14" s="26">
        <f t="shared" si="2"/>
        <v>0</v>
      </c>
      <c r="D14" s="26">
        <f t="shared" si="2"/>
        <v>0</v>
      </c>
      <c r="E14" s="26">
        <f t="shared" si="2"/>
        <v>0</v>
      </c>
      <c r="F14" s="26">
        <f t="shared" si="2"/>
        <v>0</v>
      </c>
      <c r="G14" s="26">
        <f t="shared" si="2"/>
        <v>0</v>
      </c>
      <c r="H14" s="26">
        <f t="shared" si="2"/>
        <v>0</v>
      </c>
      <c r="I14" s="26">
        <f t="shared" si="2"/>
        <v>0</v>
      </c>
      <c r="J14" s="26">
        <f t="shared" si="2"/>
        <v>0</v>
      </c>
      <c r="K14" s="26">
        <f t="shared" si="2"/>
        <v>0</v>
      </c>
      <c r="L14" s="26">
        <f t="shared" si="2"/>
        <v>0</v>
      </c>
      <c r="M14" s="26">
        <f t="shared" si="2"/>
        <v>0</v>
      </c>
      <c r="N14" s="26">
        <f t="shared" si="2"/>
        <v>0</v>
      </c>
      <c r="O14" s="26">
        <f t="shared" si="2"/>
        <v>0</v>
      </c>
      <c r="P14" s="26">
        <f t="shared" si="2"/>
        <v>0</v>
      </c>
      <c r="Q14" s="26">
        <f t="shared" si="2"/>
        <v>0</v>
      </c>
      <c r="S14">
        <v>0.6</v>
      </c>
      <c r="T14" s="26">
        <f t="shared" si="3"/>
        <v>0</v>
      </c>
      <c r="U14" s="26">
        <f t="shared" si="3"/>
        <v>0</v>
      </c>
      <c r="V14" s="26">
        <f t="shared" si="3"/>
        <v>0</v>
      </c>
      <c r="W14" s="26">
        <f t="shared" si="3"/>
        <v>0</v>
      </c>
      <c r="X14" s="26">
        <f t="shared" si="3"/>
        <v>0</v>
      </c>
      <c r="Y14" s="26">
        <f t="shared" si="3"/>
        <v>0</v>
      </c>
      <c r="Z14" s="26">
        <f t="shared" si="3"/>
        <v>0</v>
      </c>
      <c r="AA14" s="26">
        <f t="shared" si="3"/>
        <v>0</v>
      </c>
      <c r="AB14" s="26">
        <f t="shared" si="3"/>
        <v>0</v>
      </c>
      <c r="AC14" s="26">
        <f t="shared" si="3"/>
        <v>0</v>
      </c>
      <c r="AD14" s="26">
        <f t="shared" si="3"/>
        <v>0</v>
      </c>
      <c r="AE14" s="26">
        <f t="shared" si="3"/>
        <v>0</v>
      </c>
      <c r="AF14" s="26">
        <f t="shared" si="3"/>
        <v>0</v>
      </c>
      <c r="AG14" s="26">
        <f t="shared" si="3"/>
        <v>0</v>
      </c>
      <c r="AH14" s="26">
        <f t="shared" si="4"/>
        <v>0</v>
      </c>
    </row>
    <row r="15" spans="1:34" x14ac:dyDescent="0.25">
      <c r="B15">
        <v>0.65</v>
      </c>
      <c r="C15" s="26">
        <f t="shared" si="2"/>
        <v>0</v>
      </c>
      <c r="D15" s="26">
        <f t="shared" si="2"/>
        <v>0</v>
      </c>
      <c r="E15" s="26">
        <f t="shared" si="2"/>
        <v>0</v>
      </c>
      <c r="F15" s="26">
        <f t="shared" si="2"/>
        <v>0</v>
      </c>
      <c r="G15" s="26">
        <f t="shared" si="2"/>
        <v>0</v>
      </c>
      <c r="H15" s="26">
        <f t="shared" si="2"/>
        <v>0</v>
      </c>
      <c r="I15" s="26">
        <f t="shared" si="2"/>
        <v>0</v>
      </c>
      <c r="J15" s="26">
        <f t="shared" si="2"/>
        <v>0</v>
      </c>
      <c r="K15" s="26">
        <f t="shared" si="2"/>
        <v>0</v>
      </c>
      <c r="L15" s="26">
        <f t="shared" si="2"/>
        <v>0</v>
      </c>
      <c r="M15" s="26">
        <f t="shared" si="2"/>
        <v>0</v>
      </c>
      <c r="N15" s="26">
        <f t="shared" si="2"/>
        <v>0</v>
      </c>
      <c r="O15" s="26">
        <f t="shared" si="2"/>
        <v>0</v>
      </c>
      <c r="P15" s="26">
        <f t="shared" si="2"/>
        <v>0</v>
      </c>
      <c r="Q15" s="26">
        <f t="shared" si="2"/>
        <v>0</v>
      </c>
      <c r="S15">
        <v>0.65</v>
      </c>
      <c r="T15" s="26">
        <f t="shared" si="3"/>
        <v>0</v>
      </c>
      <c r="U15" s="26">
        <f t="shared" si="3"/>
        <v>0</v>
      </c>
      <c r="V15" s="26">
        <f t="shared" si="3"/>
        <v>0</v>
      </c>
      <c r="W15" s="26">
        <f t="shared" si="3"/>
        <v>0</v>
      </c>
      <c r="X15" s="26">
        <f t="shared" si="3"/>
        <v>0</v>
      </c>
      <c r="Y15" s="26">
        <f t="shared" si="3"/>
        <v>0</v>
      </c>
      <c r="Z15" s="26">
        <f t="shared" si="3"/>
        <v>0</v>
      </c>
      <c r="AA15" s="26">
        <f t="shared" si="3"/>
        <v>0</v>
      </c>
      <c r="AB15" s="26">
        <f t="shared" si="3"/>
        <v>0</v>
      </c>
      <c r="AC15" s="26">
        <f t="shared" si="3"/>
        <v>0</v>
      </c>
      <c r="AD15" s="26">
        <f t="shared" si="3"/>
        <v>0</v>
      </c>
      <c r="AE15" s="26">
        <f t="shared" si="3"/>
        <v>0</v>
      </c>
      <c r="AF15" s="26">
        <f t="shared" si="3"/>
        <v>0</v>
      </c>
      <c r="AG15" s="26">
        <f t="shared" si="3"/>
        <v>0</v>
      </c>
      <c r="AH15" s="26">
        <f t="shared" si="4"/>
        <v>0</v>
      </c>
    </row>
    <row r="16" spans="1:34" x14ac:dyDescent="0.25">
      <c r="B16">
        <v>0.7</v>
      </c>
      <c r="C16" s="26">
        <f t="shared" si="2"/>
        <v>0</v>
      </c>
      <c r="D16" s="26">
        <f t="shared" si="2"/>
        <v>0</v>
      </c>
      <c r="E16" s="26">
        <f t="shared" si="2"/>
        <v>0</v>
      </c>
      <c r="F16" s="26">
        <f t="shared" si="2"/>
        <v>0</v>
      </c>
      <c r="G16" s="26">
        <f t="shared" si="2"/>
        <v>0</v>
      </c>
      <c r="H16" s="26">
        <f t="shared" si="2"/>
        <v>0</v>
      </c>
      <c r="I16" s="26">
        <f t="shared" si="2"/>
        <v>0</v>
      </c>
      <c r="J16" s="26">
        <f t="shared" si="2"/>
        <v>0</v>
      </c>
      <c r="K16" s="26">
        <f t="shared" si="2"/>
        <v>0</v>
      </c>
      <c r="L16" s="26">
        <f t="shared" si="2"/>
        <v>0</v>
      </c>
      <c r="M16" s="26">
        <f t="shared" si="2"/>
        <v>0</v>
      </c>
      <c r="N16" s="26">
        <f t="shared" si="2"/>
        <v>0</v>
      </c>
      <c r="O16" s="26">
        <f t="shared" si="2"/>
        <v>0</v>
      </c>
      <c r="P16" s="26">
        <f t="shared" si="2"/>
        <v>0</v>
      </c>
      <c r="Q16" s="26">
        <f t="shared" si="2"/>
        <v>0</v>
      </c>
      <c r="S16">
        <v>0.7</v>
      </c>
      <c r="T16" s="26">
        <f t="shared" si="3"/>
        <v>0</v>
      </c>
      <c r="U16" s="26">
        <f t="shared" si="3"/>
        <v>0</v>
      </c>
      <c r="V16" s="26">
        <f t="shared" si="3"/>
        <v>0</v>
      </c>
      <c r="W16" s="26">
        <f t="shared" si="3"/>
        <v>0</v>
      </c>
      <c r="X16" s="26">
        <f t="shared" si="3"/>
        <v>0</v>
      </c>
      <c r="Y16" s="26">
        <f t="shared" si="3"/>
        <v>0</v>
      </c>
      <c r="Z16" s="26">
        <f t="shared" si="3"/>
        <v>0</v>
      </c>
      <c r="AA16" s="26">
        <f t="shared" si="3"/>
        <v>0</v>
      </c>
      <c r="AB16" s="26">
        <f t="shared" si="3"/>
        <v>0</v>
      </c>
      <c r="AC16" s="26">
        <f t="shared" si="3"/>
        <v>0</v>
      </c>
      <c r="AD16" s="26">
        <f t="shared" si="3"/>
        <v>0</v>
      </c>
      <c r="AE16" s="26">
        <f t="shared" si="3"/>
        <v>0</v>
      </c>
      <c r="AF16" s="26">
        <f t="shared" si="3"/>
        <v>0</v>
      </c>
      <c r="AG16" s="26">
        <f t="shared" si="3"/>
        <v>0</v>
      </c>
      <c r="AH16" s="26">
        <f t="shared" si="4"/>
        <v>0</v>
      </c>
    </row>
    <row r="17" spans="2:34" x14ac:dyDescent="0.25">
      <c r="B17">
        <v>0.75</v>
      </c>
      <c r="C17" s="26">
        <f t="shared" si="2"/>
        <v>0</v>
      </c>
      <c r="D17" s="26">
        <f t="shared" si="2"/>
        <v>0</v>
      </c>
      <c r="E17" s="26">
        <f t="shared" si="2"/>
        <v>0</v>
      </c>
      <c r="F17" s="26">
        <f t="shared" si="2"/>
        <v>0</v>
      </c>
      <c r="G17" s="26">
        <f t="shared" si="2"/>
        <v>0</v>
      </c>
      <c r="H17" s="26">
        <f t="shared" si="2"/>
        <v>0</v>
      </c>
      <c r="I17" s="26">
        <f t="shared" si="2"/>
        <v>0</v>
      </c>
      <c r="J17" s="26">
        <f t="shared" si="2"/>
        <v>0</v>
      </c>
      <c r="K17" s="26">
        <f t="shared" si="2"/>
        <v>0</v>
      </c>
      <c r="L17" s="26">
        <f t="shared" si="2"/>
        <v>0</v>
      </c>
      <c r="M17" s="26">
        <f t="shared" si="2"/>
        <v>0</v>
      </c>
      <c r="N17" s="26">
        <f t="shared" si="2"/>
        <v>0</v>
      </c>
      <c r="O17" s="26">
        <f t="shared" si="2"/>
        <v>0</v>
      </c>
      <c r="P17" s="26">
        <f t="shared" si="2"/>
        <v>0</v>
      </c>
      <c r="Q17" s="26">
        <f t="shared" si="2"/>
        <v>0</v>
      </c>
      <c r="S17">
        <v>0.75</v>
      </c>
      <c r="T17" s="26">
        <f t="shared" si="3"/>
        <v>0</v>
      </c>
      <c r="U17" s="26">
        <f t="shared" si="3"/>
        <v>0</v>
      </c>
      <c r="V17" s="26">
        <f t="shared" si="3"/>
        <v>0</v>
      </c>
      <c r="W17" s="26">
        <f t="shared" si="3"/>
        <v>0</v>
      </c>
      <c r="X17" s="26">
        <f t="shared" si="3"/>
        <v>0</v>
      </c>
      <c r="Y17" s="26">
        <f t="shared" si="3"/>
        <v>0</v>
      </c>
      <c r="Z17" s="26">
        <f t="shared" si="3"/>
        <v>0</v>
      </c>
      <c r="AA17" s="26">
        <f t="shared" si="3"/>
        <v>0</v>
      </c>
      <c r="AB17" s="26">
        <f t="shared" si="3"/>
        <v>0</v>
      </c>
      <c r="AC17" s="26">
        <f t="shared" si="3"/>
        <v>0</v>
      </c>
      <c r="AD17" s="26">
        <f t="shared" si="3"/>
        <v>0</v>
      </c>
      <c r="AE17" s="26">
        <f t="shared" si="3"/>
        <v>0</v>
      </c>
      <c r="AF17" s="26">
        <f t="shared" si="3"/>
        <v>0</v>
      </c>
      <c r="AG17" s="26">
        <f t="shared" si="3"/>
        <v>0</v>
      </c>
      <c r="AH17" s="26">
        <f t="shared" si="4"/>
        <v>0</v>
      </c>
    </row>
    <row r="18" spans="2:34" x14ac:dyDescent="0.25">
      <c r="B18">
        <v>0.8</v>
      </c>
      <c r="C18" s="26">
        <f t="shared" si="2"/>
        <v>0</v>
      </c>
      <c r="D18" s="26">
        <f t="shared" si="2"/>
        <v>0</v>
      </c>
      <c r="E18" s="26">
        <f t="shared" si="2"/>
        <v>0</v>
      </c>
      <c r="F18" s="26">
        <f t="shared" si="2"/>
        <v>0</v>
      </c>
      <c r="G18" s="26">
        <f t="shared" si="2"/>
        <v>0</v>
      </c>
      <c r="H18" s="26">
        <f t="shared" si="2"/>
        <v>0</v>
      </c>
      <c r="I18" s="26">
        <f t="shared" si="2"/>
        <v>0</v>
      </c>
      <c r="J18" s="26">
        <f t="shared" si="2"/>
        <v>0</v>
      </c>
      <c r="K18" s="26">
        <f t="shared" si="2"/>
        <v>0</v>
      </c>
      <c r="L18" s="26">
        <f t="shared" si="2"/>
        <v>0</v>
      </c>
      <c r="M18" s="26">
        <f t="shared" si="2"/>
        <v>0</v>
      </c>
      <c r="N18" s="26">
        <f t="shared" si="2"/>
        <v>0</v>
      </c>
      <c r="O18" s="26">
        <f t="shared" si="2"/>
        <v>0</v>
      </c>
      <c r="P18" s="26">
        <f t="shared" si="2"/>
        <v>0</v>
      </c>
      <c r="Q18" s="26">
        <f t="shared" si="2"/>
        <v>0</v>
      </c>
      <c r="S18">
        <v>0.8</v>
      </c>
      <c r="T18" s="26">
        <f t="shared" si="3"/>
        <v>0</v>
      </c>
      <c r="U18" s="26">
        <f t="shared" si="3"/>
        <v>0</v>
      </c>
      <c r="V18" s="26">
        <f t="shared" si="3"/>
        <v>0</v>
      </c>
      <c r="W18" s="26">
        <f t="shared" si="3"/>
        <v>0</v>
      </c>
      <c r="X18" s="26">
        <f t="shared" si="3"/>
        <v>0</v>
      </c>
      <c r="Y18" s="26">
        <f t="shared" si="3"/>
        <v>0</v>
      </c>
      <c r="Z18" s="26">
        <f t="shared" si="3"/>
        <v>0</v>
      </c>
      <c r="AA18" s="26">
        <f t="shared" si="3"/>
        <v>0</v>
      </c>
      <c r="AB18" s="26">
        <f t="shared" si="3"/>
        <v>0</v>
      </c>
      <c r="AC18" s="26">
        <f t="shared" si="3"/>
        <v>0</v>
      </c>
      <c r="AD18" s="26">
        <f t="shared" si="3"/>
        <v>0</v>
      </c>
      <c r="AE18" s="26">
        <f t="shared" si="3"/>
        <v>0</v>
      </c>
      <c r="AF18" s="26">
        <f t="shared" si="3"/>
        <v>0</v>
      </c>
      <c r="AG18" s="26">
        <f t="shared" si="3"/>
        <v>0</v>
      </c>
      <c r="AH18" s="26">
        <f t="shared" si="4"/>
        <v>0</v>
      </c>
    </row>
    <row r="19" spans="2:34" x14ac:dyDescent="0.25">
      <c r="B19">
        <v>0.85</v>
      </c>
      <c r="C19" s="26">
        <f t="shared" si="2"/>
        <v>0</v>
      </c>
      <c r="D19" s="26">
        <f t="shared" si="2"/>
        <v>0</v>
      </c>
      <c r="E19" s="26">
        <f t="shared" si="2"/>
        <v>0</v>
      </c>
      <c r="F19" s="26">
        <f t="shared" si="2"/>
        <v>0</v>
      </c>
      <c r="G19" s="26">
        <f t="shared" si="2"/>
        <v>0</v>
      </c>
      <c r="H19" s="26">
        <f t="shared" si="2"/>
        <v>0</v>
      </c>
      <c r="I19" s="26">
        <f t="shared" si="2"/>
        <v>0</v>
      </c>
      <c r="J19" s="26">
        <f t="shared" si="2"/>
        <v>0</v>
      </c>
      <c r="K19" s="26">
        <f t="shared" si="2"/>
        <v>0</v>
      </c>
      <c r="L19" s="26">
        <f t="shared" si="2"/>
        <v>0</v>
      </c>
      <c r="M19" s="26">
        <f t="shared" si="2"/>
        <v>0</v>
      </c>
      <c r="N19" s="26">
        <f t="shared" si="2"/>
        <v>0</v>
      </c>
      <c r="O19" s="26">
        <f t="shared" si="2"/>
        <v>0</v>
      </c>
      <c r="P19" s="26">
        <f t="shared" si="2"/>
        <v>0</v>
      </c>
      <c r="Q19" s="26">
        <f t="shared" si="2"/>
        <v>0</v>
      </c>
      <c r="S19">
        <v>0.85</v>
      </c>
      <c r="T19" s="26">
        <f t="shared" si="3"/>
        <v>0</v>
      </c>
      <c r="U19" s="26">
        <f t="shared" si="3"/>
        <v>0</v>
      </c>
      <c r="V19" s="26">
        <f t="shared" si="3"/>
        <v>0</v>
      </c>
      <c r="W19" s="26">
        <f t="shared" si="3"/>
        <v>0</v>
      </c>
      <c r="X19" s="26">
        <f t="shared" si="3"/>
        <v>0</v>
      </c>
      <c r="Y19" s="26">
        <f t="shared" si="3"/>
        <v>0</v>
      </c>
      <c r="Z19" s="26">
        <f t="shared" si="3"/>
        <v>0</v>
      </c>
      <c r="AA19" s="26">
        <f t="shared" si="3"/>
        <v>0</v>
      </c>
      <c r="AB19" s="26">
        <f t="shared" si="3"/>
        <v>0</v>
      </c>
      <c r="AC19" s="26">
        <f t="shared" si="3"/>
        <v>0</v>
      </c>
      <c r="AD19" s="26">
        <f t="shared" si="3"/>
        <v>0</v>
      </c>
      <c r="AE19" s="26">
        <f t="shared" si="3"/>
        <v>0</v>
      </c>
      <c r="AF19" s="26">
        <f t="shared" si="3"/>
        <v>0</v>
      </c>
      <c r="AG19" s="26">
        <f t="shared" si="3"/>
        <v>0</v>
      </c>
      <c r="AH19" s="26">
        <f t="shared" si="4"/>
        <v>0</v>
      </c>
    </row>
    <row r="20" spans="2:34" x14ac:dyDescent="0.25">
      <c r="B20">
        <v>0.9</v>
      </c>
      <c r="C20" s="26">
        <f t="shared" si="2"/>
        <v>0</v>
      </c>
      <c r="D20" s="26">
        <f t="shared" si="2"/>
        <v>0</v>
      </c>
      <c r="E20" s="26">
        <f t="shared" si="2"/>
        <v>0</v>
      </c>
      <c r="F20" s="26">
        <f t="shared" si="2"/>
        <v>0</v>
      </c>
      <c r="G20" s="26">
        <f t="shared" si="2"/>
        <v>0</v>
      </c>
      <c r="H20" s="26">
        <f t="shared" si="2"/>
        <v>0</v>
      </c>
      <c r="I20" s="26">
        <f t="shared" si="2"/>
        <v>0</v>
      </c>
      <c r="J20" s="26">
        <f t="shared" si="2"/>
        <v>0</v>
      </c>
      <c r="K20" s="26">
        <f t="shared" si="2"/>
        <v>0</v>
      </c>
      <c r="L20" s="26">
        <f t="shared" si="2"/>
        <v>0</v>
      </c>
      <c r="M20" s="26">
        <f t="shared" si="2"/>
        <v>0</v>
      </c>
      <c r="N20" s="26">
        <f t="shared" si="2"/>
        <v>0</v>
      </c>
      <c r="O20" s="26">
        <f t="shared" si="2"/>
        <v>0</v>
      </c>
      <c r="P20" s="26">
        <f t="shared" si="2"/>
        <v>0</v>
      </c>
      <c r="Q20" s="26">
        <f t="shared" si="2"/>
        <v>0</v>
      </c>
      <c r="S20">
        <v>0.9</v>
      </c>
      <c r="T20" s="26">
        <f t="shared" si="3"/>
        <v>0</v>
      </c>
      <c r="U20" s="26">
        <f t="shared" si="3"/>
        <v>0</v>
      </c>
      <c r="V20" s="26">
        <f t="shared" si="3"/>
        <v>0</v>
      </c>
      <c r="W20" s="26">
        <f t="shared" si="3"/>
        <v>0</v>
      </c>
      <c r="X20" s="26">
        <f t="shared" si="3"/>
        <v>0</v>
      </c>
      <c r="Y20" s="26">
        <f t="shared" si="3"/>
        <v>0</v>
      </c>
      <c r="Z20" s="26">
        <f t="shared" si="3"/>
        <v>0</v>
      </c>
      <c r="AA20" s="26">
        <f t="shared" si="3"/>
        <v>0</v>
      </c>
      <c r="AB20" s="26">
        <f t="shared" si="3"/>
        <v>0</v>
      </c>
      <c r="AC20" s="26">
        <f t="shared" si="3"/>
        <v>0</v>
      </c>
      <c r="AD20" s="26">
        <f t="shared" si="3"/>
        <v>0</v>
      </c>
      <c r="AE20" s="26">
        <f t="shared" si="3"/>
        <v>0</v>
      </c>
      <c r="AF20" s="26">
        <f t="shared" si="3"/>
        <v>0</v>
      </c>
      <c r="AG20" s="26">
        <f t="shared" si="3"/>
        <v>0</v>
      </c>
      <c r="AH20" s="26">
        <f t="shared" si="4"/>
        <v>0</v>
      </c>
    </row>
    <row r="21" spans="2:34" x14ac:dyDescent="0.25">
      <c r="B21">
        <v>0.93</v>
      </c>
      <c r="C21" s="26">
        <f t="shared" si="2"/>
        <v>0</v>
      </c>
      <c r="D21" s="26">
        <f t="shared" si="2"/>
        <v>0</v>
      </c>
      <c r="E21" s="26">
        <f t="shared" si="2"/>
        <v>0</v>
      </c>
      <c r="F21" s="26">
        <f t="shared" si="2"/>
        <v>0</v>
      </c>
      <c r="G21" s="26">
        <f t="shared" si="2"/>
        <v>0</v>
      </c>
      <c r="H21" s="26">
        <f t="shared" si="2"/>
        <v>0</v>
      </c>
      <c r="I21" s="26">
        <f t="shared" si="2"/>
        <v>0</v>
      </c>
      <c r="J21" s="26">
        <f t="shared" si="2"/>
        <v>0</v>
      </c>
      <c r="K21" s="26">
        <f t="shared" si="2"/>
        <v>0</v>
      </c>
      <c r="L21" s="26">
        <f t="shared" si="2"/>
        <v>0</v>
      </c>
      <c r="M21" s="26">
        <f t="shared" si="2"/>
        <v>0</v>
      </c>
      <c r="N21" s="26">
        <f t="shared" si="2"/>
        <v>0</v>
      </c>
      <c r="O21" s="26">
        <f t="shared" si="2"/>
        <v>0</v>
      </c>
      <c r="P21" s="26">
        <f t="shared" si="2"/>
        <v>0</v>
      </c>
      <c r="Q21" s="26">
        <f t="shared" si="2"/>
        <v>0</v>
      </c>
      <c r="S21">
        <v>0.93</v>
      </c>
      <c r="T21" s="26">
        <f t="shared" si="3"/>
        <v>0</v>
      </c>
      <c r="U21" s="26">
        <f t="shared" si="3"/>
        <v>0</v>
      </c>
      <c r="V21" s="26">
        <f t="shared" si="3"/>
        <v>0</v>
      </c>
      <c r="W21" s="26">
        <f t="shared" si="3"/>
        <v>0</v>
      </c>
      <c r="X21" s="26">
        <f t="shared" si="3"/>
        <v>0</v>
      </c>
      <c r="Y21" s="26">
        <f t="shared" si="3"/>
        <v>0</v>
      </c>
      <c r="Z21" s="26">
        <f t="shared" si="3"/>
        <v>0</v>
      </c>
      <c r="AA21" s="26">
        <f t="shared" si="3"/>
        <v>0</v>
      </c>
      <c r="AB21" s="26">
        <f t="shared" si="3"/>
        <v>0</v>
      </c>
      <c r="AC21" s="26">
        <f t="shared" si="3"/>
        <v>0</v>
      </c>
      <c r="AD21" s="26">
        <f t="shared" si="3"/>
        <v>0</v>
      </c>
      <c r="AE21" s="26">
        <f t="shared" si="3"/>
        <v>0</v>
      </c>
      <c r="AF21" s="26">
        <f t="shared" si="3"/>
        <v>0</v>
      </c>
      <c r="AG21" s="26">
        <f t="shared" si="3"/>
        <v>0</v>
      </c>
      <c r="AH21" s="26">
        <f t="shared" si="4"/>
        <v>0</v>
      </c>
    </row>
    <row r="22" spans="2:34" x14ac:dyDescent="0.25">
      <c r="B22">
        <v>0.95</v>
      </c>
      <c r="C22" s="26">
        <f t="shared" si="2"/>
        <v>0</v>
      </c>
      <c r="D22" s="26">
        <f t="shared" si="2"/>
        <v>0</v>
      </c>
      <c r="E22" s="26">
        <f t="shared" si="2"/>
        <v>0</v>
      </c>
      <c r="F22" s="26">
        <f t="shared" si="2"/>
        <v>0</v>
      </c>
      <c r="G22" s="26">
        <f t="shared" si="2"/>
        <v>0</v>
      </c>
      <c r="H22" s="26">
        <f t="shared" si="2"/>
        <v>0</v>
      </c>
      <c r="I22" s="26">
        <f t="shared" si="2"/>
        <v>0</v>
      </c>
      <c r="J22" s="26">
        <f t="shared" si="2"/>
        <v>0</v>
      </c>
      <c r="K22" s="26">
        <f t="shared" si="2"/>
        <v>0</v>
      </c>
      <c r="L22" s="26">
        <f t="shared" si="2"/>
        <v>0</v>
      </c>
      <c r="M22" s="26">
        <f t="shared" si="2"/>
        <v>0</v>
      </c>
      <c r="N22" s="26">
        <f t="shared" si="2"/>
        <v>0</v>
      </c>
      <c r="O22" s="26">
        <f t="shared" si="2"/>
        <v>0</v>
      </c>
      <c r="P22" s="26">
        <f t="shared" si="2"/>
        <v>0</v>
      </c>
      <c r="Q22" s="26">
        <f t="shared" si="2"/>
        <v>0</v>
      </c>
      <c r="S22">
        <v>0.95</v>
      </c>
      <c r="T22" s="26">
        <f t="shared" si="3"/>
        <v>0</v>
      </c>
      <c r="U22" s="26">
        <f t="shared" si="3"/>
        <v>0</v>
      </c>
      <c r="V22" s="26">
        <f t="shared" si="3"/>
        <v>0</v>
      </c>
      <c r="W22" s="26">
        <f t="shared" si="3"/>
        <v>0</v>
      </c>
      <c r="X22" s="26">
        <f t="shared" si="3"/>
        <v>0</v>
      </c>
      <c r="Y22" s="26">
        <f t="shared" si="3"/>
        <v>0</v>
      </c>
      <c r="Z22" s="26">
        <f t="shared" si="3"/>
        <v>0</v>
      </c>
      <c r="AA22" s="26">
        <f t="shared" si="3"/>
        <v>0</v>
      </c>
      <c r="AB22" s="26">
        <f t="shared" si="3"/>
        <v>0</v>
      </c>
      <c r="AC22" s="26">
        <f t="shared" si="3"/>
        <v>0</v>
      </c>
      <c r="AD22" s="26">
        <f t="shared" si="3"/>
        <v>0</v>
      </c>
      <c r="AE22" s="26">
        <f t="shared" si="3"/>
        <v>0</v>
      </c>
      <c r="AF22" s="26">
        <f t="shared" si="3"/>
        <v>0</v>
      </c>
      <c r="AG22" s="26">
        <f t="shared" si="3"/>
        <v>0</v>
      </c>
      <c r="AH22" s="26">
        <f t="shared" si="4"/>
        <v>0</v>
      </c>
    </row>
    <row r="23" spans="2:34" x14ac:dyDescent="0.25">
      <c r="B23">
        <v>0.97</v>
      </c>
      <c r="C23" s="26">
        <f t="shared" si="2"/>
        <v>0</v>
      </c>
      <c r="D23" s="26">
        <f t="shared" si="2"/>
        <v>0</v>
      </c>
      <c r="E23" s="26">
        <f t="shared" si="2"/>
        <v>0</v>
      </c>
      <c r="F23" s="26">
        <f t="shared" si="2"/>
        <v>0</v>
      </c>
      <c r="G23" s="26">
        <f t="shared" si="2"/>
        <v>0</v>
      </c>
      <c r="H23" s="26">
        <f t="shared" si="2"/>
        <v>0</v>
      </c>
      <c r="I23" s="26">
        <f t="shared" si="2"/>
        <v>0</v>
      </c>
      <c r="J23" s="26">
        <f t="shared" si="2"/>
        <v>0</v>
      </c>
      <c r="K23" s="26">
        <f t="shared" si="2"/>
        <v>0</v>
      </c>
      <c r="L23" s="26">
        <f t="shared" si="2"/>
        <v>0</v>
      </c>
      <c r="M23" s="26">
        <f t="shared" si="2"/>
        <v>0</v>
      </c>
      <c r="N23" s="26">
        <f t="shared" si="2"/>
        <v>0</v>
      </c>
      <c r="O23" s="26">
        <f t="shared" si="2"/>
        <v>0</v>
      </c>
      <c r="P23" s="26">
        <f t="shared" si="2"/>
        <v>0</v>
      </c>
      <c r="Q23" s="26">
        <f t="shared" si="2"/>
        <v>0</v>
      </c>
      <c r="S23">
        <v>0.97</v>
      </c>
      <c r="T23" s="26">
        <f t="shared" si="3"/>
        <v>0</v>
      </c>
      <c r="U23" s="26">
        <f t="shared" si="3"/>
        <v>0</v>
      </c>
      <c r="V23" s="26">
        <f t="shared" si="3"/>
        <v>0</v>
      </c>
      <c r="W23" s="26">
        <f t="shared" si="3"/>
        <v>0</v>
      </c>
      <c r="X23" s="26">
        <f t="shared" si="3"/>
        <v>0</v>
      </c>
      <c r="Y23" s="26">
        <f t="shared" si="3"/>
        <v>0</v>
      </c>
      <c r="Z23" s="26">
        <f t="shared" si="3"/>
        <v>0</v>
      </c>
      <c r="AA23" s="26">
        <f t="shared" si="3"/>
        <v>0</v>
      </c>
      <c r="AB23" s="26">
        <f t="shared" si="3"/>
        <v>0</v>
      </c>
      <c r="AC23" s="26">
        <f t="shared" si="3"/>
        <v>0</v>
      </c>
      <c r="AD23" s="26">
        <f t="shared" si="3"/>
        <v>0</v>
      </c>
      <c r="AE23" s="26">
        <f t="shared" si="3"/>
        <v>0</v>
      </c>
      <c r="AF23" s="26">
        <f t="shared" si="3"/>
        <v>0</v>
      </c>
      <c r="AG23" s="26">
        <f t="shared" si="3"/>
        <v>0</v>
      </c>
      <c r="AH23" s="26">
        <f t="shared" si="4"/>
        <v>0</v>
      </c>
    </row>
    <row r="24" spans="2:34" x14ac:dyDescent="0.25">
      <c r="B24">
        <v>0.98</v>
      </c>
      <c r="C24" s="26">
        <f t="shared" si="2"/>
        <v>0</v>
      </c>
      <c r="D24" s="26">
        <f t="shared" si="2"/>
        <v>0</v>
      </c>
      <c r="E24" s="26">
        <f t="shared" si="2"/>
        <v>0</v>
      </c>
      <c r="F24" s="26">
        <f t="shared" si="2"/>
        <v>0</v>
      </c>
      <c r="G24" s="26">
        <f t="shared" si="2"/>
        <v>0</v>
      </c>
      <c r="H24" s="26">
        <f t="shared" si="2"/>
        <v>0</v>
      </c>
      <c r="I24" s="26">
        <f t="shared" si="2"/>
        <v>0</v>
      </c>
      <c r="J24" s="26">
        <f t="shared" si="2"/>
        <v>0</v>
      </c>
      <c r="K24" s="26">
        <f t="shared" si="2"/>
        <v>0</v>
      </c>
      <c r="L24" s="26">
        <f t="shared" si="2"/>
        <v>0</v>
      </c>
      <c r="M24" s="26">
        <f t="shared" si="2"/>
        <v>0</v>
      </c>
      <c r="N24" s="26">
        <f t="shared" si="2"/>
        <v>0</v>
      </c>
      <c r="O24" s="26">
        <f t="shared" si="2"/>
        <v>0</v>
      </c>
      <c r="P24" s="26">
        <f t="shared" si="2"/>
        <v>0</v>
      </c>
      <c r="Q24" s="26">
        <f t="shared" si="2"/>
        <v>0</v>
      </c>
      <c r="S24">
        <v>0.98</v>
      </c>
      <c r="T24" s="26">
        <f t="shared" si="3"/>
        <v>0</v>
      </c>
      <c r="U24" s="26">
        <f t="shared" si="3"/>
        <v>0</v>
      </c>
      <c r="V24" s="26">
        <f t="shared" si="3"/>
        <v>0</v>
      </c>
      <c r="W24" s="26">
        <f t="shared" si="3"/>
        <v>0</v>
      </c>
      <c r="X24" s="26">
        <f t="shared" si="3"/>
        <v>0</v>
      </c>
      <c r="Y24" s="26">
        <f t="shared" si="3"/>
        <v>0</v>
      </c>
      <c r="Z24" s="26">
        <f t="shared" si="3"/>
        <v>0</v>
      </c>
      <c r="AA24" s="26">
        <f t="shared" si="3"/>
        <v>0</v>
      </c>
      <c r="AB24" s="26">
        <f t="shared" si="3"/>
        <v>0</v>
      </c>
      <c r="AC24" s="26">
        <f t="shared" si="3"/>
        <v>0</v>
      </c>
      <c r="AD24" s="26">
        <f t="shared" si="3"/>
        <v>0</v>
      </c>
      <c r="AE24" s="26">
        <f t="shared" si="3"/>
        <v>0</v>
      </c>
      <c r="AF24" s="26">
        <f t="shared" si="3"/>
        <v>0</v>
      </c>
      <c r="AG24" s="26">
        <f t="shared" si="3"/>
        <v>0</v>
      </c>
      <c r="AH24" s="26">
        <f t="shared" si="4"/>
        <v>0</v>
      </c>
    </row>
    <row r="25" spans="2:34" x14ac:dyDescent="0.25">
      <c r="B25">
        <v>0.99</v>
      </c>
      <c r="C25" s="26">
        <f t="shared" ref="C25:Q47" si="5">LK_Z0($B25,C$7,$F$2,$G$2)</f>
        <v>0</v>
      </c>
      <c r="D25" s="26">
        <f t="shared" si="5"/>
        <v>0</v>
      </c>
      <c r="E25" s="26">
        <f t="shared" si="5"/>
        <v>0</v>
      </c>
      <c r="F25" s="26">
        <f t="shared" si="5"/>
        <v>0</v>
      </c>
      <c r="G25" s="26">
        <f t="shared" si="5"/>
        <v>0</v>
      </c>
      <c r="H25" s="26">
        <f t="shared" si="5"/>
        <v>0</v>
      </c>
      <c r="I25" s="26">
        <f t="shared" si="5"/>
        <v>0</v>
      </c>
      <c r="J25" s="26">
        <f t="shared" si="5"/>
        <v>0</v>
      </c>
      <c r="K25" s="26">
        <f t="shared" si="5"/>
        <v>0</v>
      </c>
      <c r="L25" s="26" t="e">
        <f ca="1">LK_Z0($B25,L$7,$F$2,$G$2)</f>
        <v>#NAME?</v>
      </c>
      <c r="M25" s="26">
        <f t="shared" si="5"/>
        <v>0</v>
      </c>
      <c r="N25" s="26">
        <f t="shared" si="5"/>
        <v>0</v>
      </c>
      <c r="O25" s="26">
        <f t="shared" si="5"/>
        <v>0</v>
      </c>
      <c r="P25" s="26">
        <f t="shared" si="5"/>
        <v>0</v>
      </c>
      <c r="Q25" s="26">
        <f t="shared" si="5"/>
        <v>0</v>
      </c>
      <c r="S25">
        <v>0.99</v>
      </c>
      <c r="T25" s="26">
        <f t="shared" si="3"/>
        <v>0</v>
      </c>
      <c r="U25" s="26">
        <f t="shared" si="3"/>
        <v>0</v>
      </c>
      <c r="V25" s="26">
        <f t="shared" si="3"/>
        <v>0</v>
      </c>
      <c r="W25" s="26">
        <f t="shared" si="3"/>
        <v>0</v>
      </c>
      <c r="X25" s="26">
        <f t="shared" si="3"/>
        <v>0</v>
      </c>
      <c r="Y25" s="26">
        <f t="shared" si="3"/>
        <v>0</v>
      </c>
      <c r="Z25" s="26">
        <f t="shared" si="3"/>
        <v>0</v>
      </c>
      <c r="AA25" s="26">
        <f t="shared" si="3"/>
        <v>0</v>
      </c>
      <c r="AB25" s="26">
        <f t="shared" si="3"/>
        <v>0</v>
      </c>
      <c r="AC25" s="26">
        <f t="shared" ref="U25:AG40" si="6">LK_Z0($S25,AC$7,$F$2,$G$3)</f>
        <v>0</v>
      </c>
      <c r="AD25" s="26">
        <f t="shared" si="6"/>
        <v>0</v>
      </c>
      <c r="AE25" s="26">
        <f t="shared" si="6"/>
        <v>0</v>
      </c>
      <c r="AF25" s="26">
        <f t="shared" si="6"/>
        <v>0</v>
      </c>
      <c r="AG25" s="26">
        <f t="shared" si="6"/>
        <v>0</v>
      </c>
      <c r="AH25" s="26">
        <f t="shared" si="4"/>
        <v>0</v>
      </c>
    </row>
    <row r="26" spans="2:34" x14ac:dyDescent="0.25">
      <c r="B26">
        <v>1</v>
      </c>
      <c r="C26" s="26">
        <f t="shared" si="5"/>
        <v>0</v>
      </c>
      <c r="D26" s="26">
        <f t="shared" si="5"/>
        <v>0</v>
      </c>
      <c r="E26" s="26">
        <f t="shared" si="5"/>
        <v>0</v>
      </c>
      <c r="F26" s="26">
        <f t="shared" si="5"/>
        <v>0</v>
      </c>
      <c r="G26" s="26">
        <f t="shared" si="5"/>
        <v>0</v>
      </c>
      <c r="H26" s="26">
        <f t="shared" si="5"/>
        <v>0</v>
      </c>
      <c r="I26" s="26">
        <f t="shared" si="5"/>
        <v>0</v>
      </c>
      <c r="J26" s="26">
        <f t="shared" si="5"/>
        <v>0</v>
      </c>
      <c r="K26" s="26">
        <f t="shared" si="5"/>
        <v>0</v>
      </c>
      <c r="L26" s="26">
        <f t="shared" si="5"/>
        <v>0</v>
      </c>
      <c r="M26" s="26">
        <f t="shared" si="5"/>
        <v>0</v>
      </c>
      <c r="N26" s="26">
        <f t="shared" si="5"/>
        <v>0</v>
      </c>
      <c r="O26" s="26">
        <f t="shared" si="5"/>
        <v>0</v>
      </c>
      <c r="P26" s="26">
        <f t="shared" si="5"/>
        <v>0</v>
      </c>
      <c r="Q26" s="26">
        <f t="shared" si="5"/>
        <v>0</v>
      </c>
      <c r="S26">
        <v>1</v>
      </c>
      <c r="T26" s="26">
        <f t="shared" si="3"/>
        <v>0</v>
      </c>
      <c r="U26" s="26">
        <f t="shared" si="6"/>
        <v>0</v>
      </c>
      <c r="V26" s="26">
        <f t="shared" si="6"/>
        <v>0</v>
      </c>
      <c r="W26" s="26">
        <f t="shared" si="6"/>
        <v>0</v>
      </c>
      <c r="X26" s="26">
        <f t="shared" si="6"/>
        <v>0</v>
      </c>
      <c r="Y26" s="26">
        <f t="shared" si="6"/>
        <v>0</v>
      </c>
      <c r="Z26" s="26">
        <f t="shared" si="6"/>
        <v>0</v>
      </c>
      <c r="AA26" s="26">
        <f t="shared" si="6"/>
        <v>0</v>
      </c>
      <c r="AB26" s="26">
        <f t="shared" si="6"/>
        <v>0</v>
      </c>
      <c r="AC26" s="26">
        <f t="shared" si="6"/>
        <v>0</v>
      </c>
      <c r="AD26" s="26">
        <f t="shared" si="6"/>
        <v>0</v>
      </c>
      <c r="AE26" s="26">
        <f t="shared" si="6"/>
        <v>0</v>
      </c>
      <c r="AF26" s="26">
        <f t="shared" si="6"/>
        <v>0</v>
      </c>
      <c r="AG26" s="26">
        <f t="shared" si="6"/>
        <v>0</v>
      </c>
      <c r="AH26" s="26">
        <f t="shared" si="4"/>
        <v>0</v>
      </c>
    </row>
    <row r="27" spans="2:34" x14ac:dyDescent="0.25">
      <c r="B27">
        <v>1.01</v>
      </c>
      <c r="C27" s="26">
        <f t="shared" si="5"/>
        <v>0</v>
      </c>
      <c r="D27" s="26">
        <f t="shared" si="5"/>
        <v>0</v>
      </c>
      <c r="E27" s="26">
        <f t="shared" si="5"/>
        <v>0</v>
      </c>
      <c r="F27" s="26">
        <f t="shared" si="5"/>
        <v>0</v>
      </c>
      <c r="G27" s="26">
        <f t="shared" si="5"/>
        <v>0</v>
      </c>
      <c r="H27" s="26">
        <f t="shared" si="5"/>
        <v>0</v>
      </c>
      <c r="I27" s="26">
        <f t="shared" si="5"/>
        <v>0</v>
      </c>
      <c r="J27" s="26">
        <f t="shared" si="5"/>
        <v>0</v>
      </c>
      <c r="K27" s="26">
        <f t="shared" si="5"/>
        <v>0</v>
      </c>
      <c r="L27" s="26">
        <f t="shared" si="5"/>
        <v>0</v>
      </c>
      <c r="M27" s="26">
        <f t="shared" si="5"/>
        <v>0</v>
      </c>
      <c r="N27" s="26">
        <f t="shared" si="5"/>
        <v>0</v>
      </c>
      <c r="O27" s="26">
        <f t="shared" si="5"/>
        <v>0</v>
      </c>
      <c r="P27" s="26">
        <f t="shared" si="5"/>
        <v>0</v>
      </c>
      <c r="Q27" s="26">
        <f t="shared" si="5"/>
        <v>0</v>
      </c>
      <c r="S27">
        <v>1.01</v>
      </c>
      <c r="T27" s="26">
        <f t="shared" si="3"/>
        <v>0</v>
      </c>
      <c r="U27" s="26">
        <f t="shared" si="6"/>
        <v>0</v>
      </c>
      <c r="V27" s="26">
        <f t="shared" si="6"/>
        <v>0</v>
      </c>
      <c r="W27" s="26">
        <f t="shared" si="6"/>
        <v>0</v>
      </c>
      <c r="X27" s="26">
        <f t="shared" si="6"/>
        <v>0</v>
      </c>
      <c r="Y27" s="26">
        <f t="shared" si="6"/>
        <v>0</v>
      </c>
      <c r="Z27" s="26">
        <f t="shared" si="6"/>
        <v>0</v>
      </c>
      <c r="AA27" s="26">
        <f t="shared" si="6"/>
        <v>0</v>
      </c>
      <c r="AB27" s="26">
        <f t="shared" si="6"/>
        <v>0</v>
      </c>
      <c r="AC27" s="26">
        <f t="shared" si="6"/>
        <v>0</v>
      </c>
      <c r="AD27" s="26">
        <f t="shared" si="6"/>
        <v>0</v>
      </c>
      <c r="AE27" s="26">
        <f t="shared" si="6"/>
        <v>0</v>
      </c>
      <c r="AF27" s="26">
        <f t="shared" si="6"/>
        <v>0</v>
      </c>
      <c r="AG27" s="26">
        <f t="shared" si="6"/>
        <v>0</v>
      </c>
      <c r="AH27" s="26">
        <f t="shared" si="4"/>
        <v>0</v>
      </c>
    </row>
    <row r="28" spans="2:34" x14ac:dyDescent="0.25">
      <c r="B28">
        <v>1.02</v>
      </c>
      <c r="C28" s="26">
        <f t="shared" si="5"/>
        <v>0</v>
      </c>
      <c r="D28" s="26">
        <f t="shared" si="5"/>
        <v>0</v>
      </c>
      <c r="E28" s="26">
        <f t="shared" si="5"/>
        <v>0</v>
      </c>
      <c r="F28" s="26">
        <f t="shared" si="5"/>
        <v>0</v>
      </c>
      <c r="G28" s="26">
        <f t="shared" si="5"/>
        <v>0</v>
      </c>
      <c r="H28" s="26">
        <f t="shared" si="5"/>
        <v>0</v>
      </c>
      <c r="I28" s="26">
        <f t="shared" si="5"/>
        <v>0</v>
      </c>
      <c r="J28" s="26">
        <f t="shared" si="5"/>
        <v>0</v>
      </c>
      <c r="K28" s="26">
        <f t="shared" si="5"/>
        <v>0</v>
      </c>
      <c r="L28" s="26">
        <f t="shared" si="5"/>
        <v>0</v>
      </c>
      <c r="M28" s="26">
        <f t="shared" si="5"/>
        <v>0</v>
      </c>
      <c r="N28" s="26">
        <f t="shared" si="5"/>
        <v>0</v>
      </c>
      <c r="O28" s="26">
        <f t="shared" si="5"/>
        <v>0</v>
      </c>
      <c r="P28" s="26">
        <f t="shared" si="5"/>
        <v>0</v>
      </c>
      <c r="Q28" s="26">
        <f t="shared" si="5"/>
        <v>0</v>
      </c>
      <c r="S28">
        <v>1.02</v>
      </c>
      <c r="T28" s="26">
        <f t="shared" si="3"/>
        <v>0</v>
      </c>
      <c r="U28" s="26">
        <f t="shared" si="6"/>
        <v>0</v>
      </c>
      <c r="V28" s="26">
        <f t="shared" si="6"/>
        <v>0</v>
      </c>
      <c r="W28" s="26">
        <f t="shared" si="6"/>
        <v>0</v>
      </c>
      <c r="X28" s="26">
        <f t="shared" si="6"/>
        <v>0</v>
      </c>
      <c r="Y28" s="26">
        <f t="shared" si="6"/>
        <v>0</v>
      </c>
      <c r="Z28" s="26">
        <f t="shared" si="6"/>
        <v>0</v>
      </c>
      <c r="AA28" s="26">
        <f t="shared" si="6"/>
        <v>0</v>
      </c>
      <c r="AB28" s="26">
        <f t="shared" si="6"/>
        <v>0</v>
      </c>
      <c r="AC28" s="26">
        <f t="shared" si="6"/>
        <v>0</v>
      </c>
      <c r="AD28" s="26">
        <f t="shared" si="6"/>
        <v>0</v>
      </c>
      <c r="AE28" s="26">
        <f t="shared" si="6"/>
        <v>0</v>
      </c>
      <c r="AF28" s="26">
        <f t="shared" si="6"/>
        <v>0</v>
      </c>
      <c r="AG28" s="26">
        <f t="shared" si="6"/>
        <v>0</v>
      </c>
      <c r="AH28" s="26">
        <f t="shared" si="4"/>
        <v>0</v>
      </c>
    </row>
    <row r="29" spans="2:34" x14ac:dyDescent="0.25">
      <c r="B29">
        <v>1.05</v>
      </c>
      <c r="C29" s="26">
        <f t="shared" si="5"/>
        <v>0</v>
      </c>
      <c r="D29" s="26">
        <f t="shared" si="5"/>
        <v>0</v>
      </c>
      <c r="E29" s="26">
        <f t="shared" si="5"/>
        <v>0</v>
      </c>
      <c r="F29" s="26">
        <f t="shared" si="5"/>
        <v>0</v>
      </c>
      <c r="G29" s="26">
        <f t="shared" si="5"/>
        <v>0</v>
      </c>
      <c r="H29" s="26">
        <f t="shared" si="5"/>
        <v>0</v>
      </c>
      <c r="I29" s="26">
        <f t="shared" si="5"/>
        <v>0</v>
      </c>
      <c r="J29" s="26">
        <f t="shared" si="5"/>
        <v>0</v>
      </c>
      <c r="K29" s="26">
        <f t="shared" si="5"/>
        <v>0</v>
      </c>
      <c r="L29" s="26">
        <f t="shared" si="5"/>
        <v>0</v>
      </c>
      <c r="M29" s="26">
        <f t="shared" si="5"/>
        <v>0</v>
      </c>
      <c r="N29" s="26">
        <f t="shared" si="5"/>
        <v>0</v>
      </c>
      <c r="O29" s="26">
        <f t="shared" si="5"/>
        <v>0</v>
      </c>
      <c r="P29" s="26">
        <f t="shared" si="5"/>
        <v>0</v>
      </c>
      <c r="Q29" s="26">
        <f t="shared" si="5"/>
        <v>0</v>
      </c>
      <c r="S29">
        <v>1.05</v>
      </c>
      <c r="T29" s="26">
        <f t="shared" si="3"/>
        <v>0</v>
      </c>
      <c r="U29" s="26">
        <f t="shared" si="6"/>
        <v>0</v>
      </c>
      <c r="V29" s="26">
        <f t="shared" si="6"/>
        <v>0</v>
      </c>
      <c r="W29" s="26">
        <f t="shared" si="6"/>
        <v>0</v>
      </c>
      <c r="X29" s="26">
        <f t="shared" si="6"/>
        <v>0</v>
      </c>
      <c r="Y29" s="26">
        <f t="shared" si="6"/>
        <v>0</v>
      </c>
      <c r="Z29" s="26">
        <f t="shared" si="6"/>
        <v>0</v>
      </c>
      <c r="AA29" s="26">
        <f t="shared" si="6"/>
        <v>0</v>
      </c>
      <c r="AB29" s="26">
        <f t="shared" si="6"/>
        <v>0</v>
      </c>
      <c r="AC29" s="26">
        <f t="shared" si="6"/>
        <v>0</v>
      </c>
      <c r="AD29" s="26">
        <f t="shared" si="6"/>
        <v>0</v>
      </c>
      <c r="AE29" s="26">
        <f t="shared" si="6"/>
        <v>0</v>
      </c>
      <c r="AF29" s="26">
        <f t="shared" si="6"/>
        <v>0</v>
      </c>
      <c r="AG29" s="26">
        <f t="shared" si="6"/>
        <v>0</v>
      </c>
      <c r="AH29" s="26">
        <f t="shared" si="4"/>
        <v>0</v>
      </c>
    </row>
    <row r="30" spans="2:34" x14ac:dyDescent="0.25">
      <c r="B30">
        <v>1.1000000000000001</v>
      </c>
      <c r="C30" s="26">
        <f t="shared" si="5"/>
        <v>0</v>
      </c>
      <c r="D30" s="26">
        <f t="shared" si="5"/>
        <v>0</v>
      </c>
      <c r="E30" s="26">
        <f t="shared" si="5"/>
        <v>0</v>
      </c>
      <c r="F30" s="26">
        <f t="shared" si="5"/>
        <v>0</v>
      </c>
      <c r="G30" s="26">
        <f t="shared" si="5"/>
        <v>0</v>
      </c>
      <c r="H30" s="26">
        <f t="shared" si="5"/>
        <v>0</v>
      </c>
      <c r="I30" s="26">
        <f t="shared" si="5"/>
        <v>0</v>
      </c>
      <c r="J30" s="26">
        <f t="shared" si="5"/>
        <v>0</v>
      </c>
      <c r="K30" s="26">
        <f t="shared" si="5"/>
        <v>0</v>
      </c>
      <c r="L30" s="26">
        <f t="shared" si="5"/>
        <v>0</v>
      </c>
      <c r="M30" s="26">
        <f t="shared" si="5"/>
        <v>0</v>
      </c>
      <c r="N30" s="26">
        <f t="shared" si="5"/>
        <v>0</v>
      </c>
      <c r="O30" s="26">
        <f t="shared" si="5"/>
        <v>0</v>
      </c>
      <c r="P30" s="26">
        <f t="shared" si="5"/>
        <v>0</v>
      </c>
      <c r="Q30" s="26">
        <f t="shared" si="5"/>
        <v>0</v>
      </c>
      <c r="S30">
        <v>1.1000000000000001</v>
      </c>
      <c r="T30" s="26">
        <f t="shared" si="3"/>
        <v>0</v>
      </c>
      <c r="U30" s="26">
        <f t="shared" si="6"/>
        <v>0</v>
      </c>
      <c r="V30" s="26">
        <f t="shared" si="6"/>
        <v>0</v>
      </c>
      <c r="W30" s="26">
        <f t="shared" si="6"/>
        <v>0</v>
      </c>
      <c r="X30" s="26">
        <f t="shared" si="6"/>
        <v>0</v>
      </c>
      <c r="Y30" s="26">
        <f t="shared" si="6"/>
        <v>0</v>
      </c>
      <c r="Z30" s="26">
        <f t="shared" si="6"/>
        <v>0</v>
      </c>
      <c r="AA30" s="26">
        <f t="shared" si="6"/>
        <v>0</v>
      </c>
      <c r="AB30" s="26">
        <f t="shared" si="6"/>
        <v>0</v>
      </c>
      <c r="AC30" s="26">
        <f t="shared" si="6"/>
        <v>0</v>
      </c>
      <c r="AD30" s="26">
        <f t="shared" si="6"/>
        <v>0</v>
      </c>
      <c r="AE30" s="26">
        <f t="shared" si="6"/>
        <v>0</v>
      </c>
      <c r="AF30" s="26">
        <f t="shared" si="6"/>
        <v>0</v>
      </c>
      <c r="AG30" s="26">
        <f t="shared" si="6"/>
        <v>0</v>
      </c>
      <c r="AH30" s="26">
        <f t="shared" si="4"/>
        <v>0</v>
      </c>
    </row>
    <row r="31" spans="2:34" x14ac:dyDescent="0.25">
      <c r="B31">
        <v>1.1499999999999999</v>
      </c>
      <c r="C31" s="26">
        <f t="shared" si="5"/>
        <v>0</v>
      </c>
      <c r="D31" s="26">
        <f t="shared" si="5"/>
        <v>0</v>
      </c>
      <c r="E31" s="26">
        <f t="shared" si="5"/>
        <v>0</v>
      </c>
      <c r="F31" s="26">
        <f t="shared" si="5"/>
        <v>0</v>
      </c>
      <c r="G31" s="26">
        <f t="shared" si="5"/>
        <v>0</v>
      </c>
      <c r="H31" s="26">
        <f t="shared" si="5"/>
        <v>0</v>
      </c>
      <c r="I31" s="26">
        <f t="shared" si="5"/>
        <v>0</v>
      </c>
      <c r="J31" s="26">
        <f t="shared" si="5"/>
        <v>0</v>
      </c>
      <c r="K31" s="26">
        <f t="shared" si="5"/>
        <v>0</v>
      </c>
      <c r="L31" s="26">
        <f t="shared" si="5"/>
        <v>0</v>
      </c>
      <c r="M31" s="26">
        <f t="shared" si="5"/>
        <v>0</v>
      </c>
      <c r="N31" s="26">
        <f t="shared" si="5"/>
        <v>0</v>
      </c>
      <c r="O31" s="26">
        <f t="shared" si="5"/>
        <v>0</v>
      </c>
      <c r="P31" s="26">
        <f t="shared" si="5"/>
        <v>0</v>
      </c>
      <c r="Q31" s="26">
        <f t="shared" si="5"/>
        <v>0</v>
      </c>
      <c r="S31">
        <v>1.1499999999999999</v>
      </c>
      <c r="T31" s="26">
        <f t="shared" si="3"/>
        <v>0</v>
      </c>
      <c r="U31" s="26">
        <f t="shared" si="6"/>
        <v>0</v>
      </c>
      <c r="V31" s="26">
        <f t="shared" si="6"/>
        <v>0</v>
      </c>
      <c r="W31" s="26">
        <f t="shared" si="6"/>
        <v>0</v>
      </c>
      <c r="X31" s="26">
        <f t="shared" si="6"/>
        <v>0</v>
      </c>
      <c r="Y31" s="26">
        <f t="shared" si="6"/>
        <v>0</v>
      </c>
      <c r="Z31" s="26">
        <f t="shared" si="6"/>
        <v>0</v>
      </c>
      <c r="AA31" s="26">
        <f t="shared" si="6"/>
        <v>0</v>
      </c>
      <c r="AB31" s="26">
        <f t="shared" si="6"/>
        <v>0</v>
      </c>
      <c r="AC31" s="26">
        <f t="shared" si="6"/>
        <v>0</v>
      </c>
      <c r="AD31" s="26">
        <f t="shared" si="6"/>
        <v>0</v>
      </c>
      <c r="AE31" s="26">
        <f t="shared" si="6"/>
        <v>0</v>
      </c>
      <c r="AF31" s="26">
        <f t="shared" si="6"/>
        <v>0</v>
      </c>
      <c r="AG31" s="26">
        <f t="shared" si="6"/>
        <v>0</v>
      </c>
      <c r="AH31" s="26">
        <f t="shared" si="4"/>
        <v>0</v>
      </c>
    </row>
    <row r="32" spans="2:34" x14ac:dyDescent="0.25">
      <c r="B32">
        <v>1.2</v>
      </c>
      <c r="C32" s="26">
        <f t="shared" si="5"/>
        <v>0</v>
      </c>
      <c r="D32" s="26">
        <f t="shared" si="5"/>
        <v>0</v>
      </c>
      <c r="E32" s="26">
        <f t="shared" si="5"/>
        <v>0</v>
      </c>
      <c r="F32" s="26">
        <f t="shared" si="5"/>
        <v>0</v>
      </c>
      <c r="G32" s="26">
        <f t="shared" si="5"/>
        <v>0</v>
      </c>
      <c r="H32" s="26">
        <f t="shared" si="5"/>
        <v>0</v>
      </c>
      <c r="I32" s="26">
        <f t="shared" si="5"/>
        <v>0</v>
      </c>
      <c r="J32" s="26">
        <f t="shared" si="5"/>
        <v>0</v>
      </c>
      <c r="K32" s="26">
        <f t="shared" si="5"/>
        <v>0</v>
      </c>
      <c r="L32" s="26">
        <f t="shared" si="5"/>
        <v>0</v>
      </c>
      <c r="M32" s="26">
        <f t="shared" si="5"/>
        <v>0</v>
      </c>
      <c r="N32" s="26">
        <f t="shared" si="5"/>
        <v>0</v>
      </c>
      <c r="O32" s="26">
        <f t="shared" si="5"/>
        <v>0</v>
      </c>
      <c r="P32" s="26">
        <f t="shared" si="5"/>
        <v>0</v>
      </c>
      <c r="Q32" s="26">
        <f t="shared" si="5"/>
        <v>0</v>
      </c>
      <c r="S32">
        <v>1.2</v>
      </c>
      <c r="T32" s="26">
        <f t="shared" si="3"/>
        <v>0</v>
      </c>
      <c r="U32" s="26">
        <f t="shared" si="6"/>
        <v>0</v>
      </c>
      <c r="V32" s="26">
        <f t="shared" si="6"/>
        <v>0</v>
      </c>
      <c r="W32" s="26">
        <f t="shared" si="6"/>
        <v>0</v>
      </c>
      <c r="X32" s="26">
        <f t="shared" si="6"/>
        <v>0</v>
      </c>
      <c r="Y32" s="26">
        <f t="shared" si="6"/>
        <v>0</v>
      </c>
      <c r="Z32" s="26">
        <f t="shared" si="6"/>
        <v>0</v>
      </c>
      <c r="AA32" s="26">
        <f t="shared" si="6"/>
        <v>0</v>
      </c>
      <c r="AB32" s="26">
        <f t="shared" si="6"/>
        <v>0</v>
      </c>
      <c r="AC32" s="26">
        <f t="shared" si="6"/>
        <v>0</v>
      </c>
      <c r="AD32" s="26">
        <f t="shared" si="6"/>
        <v>0</v>
      </c>
      <c r="AE32" s="26">
        <f t="shared" si="6"/>
        <v>0</v>
      </c>
      <c r="AF32" s="26">
        <f t="shared" si="6"/>
        <v>0</v>
      </c>
      <c r="AG32" s="26">
        <f t="shared" si="6"/>
        <v>0</v>
      </c>
      <c r="AH32" s="26">
        <f t="shared" si="4"/>
        <v>0</v>
      </c>
    </row>
    <row r="33" spans="2:34" x14ac:dyDescent="0.25">
      <c r="B33">
        <v>1.3</v>
      </c>
      <c r="C33" s="26">
        <f t="shared" si="5"/>
        <v>0</v>
      </c>
      <c r="D33" s="26">
        <f t="shared" si="5"/>
        <v>0</v>
      </c>
      <c r="E33" s="26">
        <f t="shared" si="5"/>
        <v>0</v>
      </c>
      <c r="F33" s="26">
        <f t="shared" si="5"/>
        <v>0</v>
      </c>
      <c r="G33" s="26">
        <f t="shared" si="5"/>
        <v>0</v>
      </c>
      <c r="H33" s="26">
        <f t="shared" si="5"/>
        <v>0</v>
      </c>
      <c r="I33" s="26">
        <f t="shared" si="5"/>
        <v>0</v>
      </c>
      <c r="J33" s="26">
        <f t="shared" si="5"/>
        <v>0</v>
      </c>
      <c r="K33" s="26">
        <f t="shared" si="5"/>
        <v>0</v>
      </c>
      <c r="L33" s="26">
        <f t="shared" si="5"/>
        <v>0</v>
      </c>
      <c r="M33" s="26">
        <f t="shared" si="5"/>
        <v>0</v>
      </c>
      <c r="N33" s="26">
        <f t="shared" si="5"/>
        <v>0</v>
      </c>
      <c r="O33" s="26">
        <f t="shared" si="5"/>
        <v>0</v>
      </c>
      <c r="P33" s="26">
        <f t="shared" si="5"/>
        <v>0</v>
      </c>
      <c r="Q33" s="26">
        <f t="shared" si="5"/>
        <v>0</v>
      </c>
      <c r="S33">
        <v>1.3</v>
      </c>
      <c r="T33" s="26">
        <f t="shared" si="3"/>
        <v>0</v>
      </c>
      <c r="U33" s="26">
        <f t="shared" si="6"/>
        <v>0</v>
      </c>
      <c r="V33" s="26">
        <f t="shared" si="6"/>
        <v>0</v>
      </c>
      <c r="W33" s="26">
        <f t="shared" si="6"/>
        <v>0</v>
      </c>
      <c r="X33" s="26">
        <f t="shared" si="6"/>
        <v>0</v>
      </c>
      <c r="Y33" s="26">
        <f t="shared" si="6"/>
        <v>0</v>
      </c>
      <c r="Z33" s="26">
        <f t="shared" si="6"/>
        <v>0</v>
      </c>
      <c r="AA33" s="26">
        <f t="shared" si="6"/>
        <v>0</v>
      </c>
      <c r="AB33" s="26">
        <f t="shared" si="6"/>
        <v>0</v>
      </c>
      <c r="AC33" s="26">
        <f t="shared" si="6"/>
        <v>0</v>
      </c>
      <c r="AD33" s="26">
        <f t="shared" si="6"/>
        <v>0</v>
      </c>
      <c r="AE33" s="26">
        <f t="shared" si="6"/>
        <v>0</v>
      </c>
      <c r="AF33" s="26">
        <f t="shared" si="6"/>
        <v>0</v>
      </c>
      <c r="AG33" s="26">
        <f t="shared" si="6"/>
        <v>0</v>
      </c>
      <c r="AH33" s="26">
        <f t="shared" si="4"/>
        <v>0</v>
      </c>
    </row>
    <row r="34" spans="2:34" x14ac:dyDescent="0.25">
      <c r="B34">
        <v>1.4</v>
      </c>
      <c r="C34" s="26">
        <f t="shared" si="5"/>
        <v>0</v>
      </c>
      <c r="D34" s="26">
        <f t="shared" si="5"/>
        <v>0</v>
      </c>
      <c r="E34" s="26">
        <f t="shared" si="5"/>
        <v>0</v>
      </c>
      <c r="F34" s="26">
        <f t="shared" si="5"/>
        <v>0</v>
      </c>
      <c r="G34" s="26">
        <f t="shared" si="5"/>
        <v>0</v>
      </c>
      <c r="H34" s="26">
        <f t="shared" si="5"/>
        <v>0</v>
      </c>
      <c r="I34" s="26">
        <f t="shared" si="5"/>
        <v>0</v>
      </c>
      <c r="J34" s="26">
        <f t="shared" si="5"/>
        <v>0</v>
      </c>
      <c r="K34" s="26">
        <f t="shared" si="5"/>
        <v>0</v>
      </c>
      <c r="L34" s="26">
        <f t="shared" si="5"/>
        <v>0</v>
      </c>
      <c r="M34" s="26">
        <f t="shared" si="5"/>
        <v>0</v>
      </c>
      <c r="N34" s="26">
        <f t="shared" si="5"/>
        <v>0</v>
      </c>
      <c r="O34" s="26">
        <f t="shared" si="5"/>
        <v>0</v>
      </c>
      <c r="P34" s="26">
        <f t="shared" si="5"/>
        <v>0</v>
      </c>
      <c r="Q34" s="26">
        <f t="shared" si="5"/>
        <v>0</v>
      </c>
      <c r="S34">
        <v>1.4</v>
      </c>
      <c r="T34" s="26">
        <f t="shared" si="3"/>
        <v>0</v>
      </c>
      <c r="U34" s="26">
        <f t="shared" si="6"/>
        <v>0</v>
      </c>
      <c r="V34" s="26">
        <f t="shared" si="6"/>
        <v>0</v>
      </c>
      <c r="W34" s="26">
        <f t="shared" si="6"/>
        <v>0</v>
      </c>
      <c r="X34" s="26">
        <f t="shared" si="6"/>
        <v>0</v>
      </c>
      <c r="Y34" s="26">
        <f t="shared" si="6"/>
        <v>0</v>
      </c>
      <c r="Z34" s="26">
        <f t="shared" si="6"/>
        <v>0</v>
      </c>
      <c r="AA34" s="26">
        <f t="shared" si="6"/>
        <v>0</v>
      </c>
      <c r="AB34" s="26">
        <f t="shared" si="6"/>
        <v>0</v>
      </c>
      <c r="AC34" s="26">
        <f t="shared" si="6"/>
        <v>0</v>
      </c>
      <c r="AD34" s="26">
        <f t="shared" si="6"/>
        <v>0</v>
      </c>
      <c r="AE34" s="26">
        <f t="shared" si="6"/>
        <v>0</v>
      </c>
      <c r="AF34" s="26">
        <f t="shared" si="6"/>
        <v>0</v>
      </c>
      <c r="AG34" s="26">
        <f t="shared" si="6"/>
        <v>0</v>
      </c>
      <c r="AH34" s="26">
        <f t="shared" si="4"/>
        <v>0</v>
      </c>
    </row>
    <row r="35" spans="2:34" x14ac:dyDescent="0.25">
      <c r="B35">
        <v>1.5</v>
      </c>
      <c r="C35" s="26">
        <f t="shared" si="5"/>
        <v>0</v>
      </c>
      <c r="D35" s="26">
        <f t="shared" si="5"/>
        <v>0</v>
      </c>
      <c r="E35" s="26">
        <f t="shared" si="5"/>
        <v>0</v>
      </c>
      <c r="F35" s="26">
        <f t="shared" si="5"/>
        <v>0</v>
      </c>
      <c r="G35" s="26">
        <f t="shared" si="5"/>
        <v>0</v>
      </c>
      <c r="H35" s="26">
        <f t="shared" si="5"/>
        <v>0</v>
      </c>
      <c r="I35" s="26">
        <f t="shared" si="5"/>
        <v>0</v>
      </c>
      <c r="J35" s="26">
        <f t="shared" si="5"/>
        <v>0</v>
      </c>
      <c r="K35" s="26">
        <f t="shared" si="5"/>
        <v>0</v>
      </c>
      <c r="L35" s="26">
        <f t="shared" si="5"/>
        <v>0</v>
      </c>
      <c r="M35" s="26">
        <f t="shared" si="5"/>
        <v>0</v>
      </c>
      <c r="N35" s="26">
        <f t="shared" si="5"/>
        <v>0</v>
      </c>
      <c r="O35" s="26">
        <f t="shared" si="5"/>
        <v>0</v>
      </c>
      <c r="P35" s="26">
        <f t="shared" si="5"/>
        <v>0</v>
      </c>
      <c r="Q35" s="26">
        <f t="shared" si="5"/>
        <v>0</v>
      </c>
      <c r="S35">
        <v>1.5</v>
      </c>
      <c r="T35" s="26">
        <f t="shared" si="3"/>
        <v>0</v>
      </c>
      <c r="U35" s="26">
        <f t="shared" si="6"/>
        <v>0</v>
      </c>
      <c r="V35" s="26">
        <f t="shared" si="6"/>
        <v>0</v>
      </c>
      <c r="W35" s="26">
        <f t="shared" si="6"/>
        <v>0</v>
      </c>
      <c r="X35" s="26">
        <f t="shared" si="6"/>
        <v>0</v>
      </c>
      <c r="Y35" s="26">
        <f t="shared" si="6"/>
        <v>0</v>
      </c>
      <c r="Z35" s="26">
        <f t="shared" si="6"/>
        <v>0</v>
      </c>
      <c r="AA35" s="26">
        <f t="shared" si="6"/>
        <v>0</v>
      </c>
      <c r="AB35" s="26">
        <f t="shared" si="6"/>
        <v>0</v>
      </c>
      <c r="AC35" s="26">
        <f t="shared" si="6"/>
        <v>0</v>
      </c>
      <c r="AD35" s="26">
        <f t="shared" si="6"/>
        <v>0</v>
      </c>
      <c r="AE35" s="26">
        <f t="shared" si="6"/>
        <v>0</v>
      </c>
      <c r="AF35" s="26">
        <f t="shared" si="6"/>
        <v>0</v>
      </c>
      <c r="AG35" s="26">
        <f t="shared" si="6"/>
        <v>0</v>
      </c>
      <c r="AH35" s="26">
        <f t="shared" si="4"/>
        <v>0</v>
      </c>
    </row>
    <row r="36" spans="2:34" x14ac:dyDescent="0.25">
      <c r="B36">
        <v>1.6</v>
      </c>
      <c r="C36" s="26">
        <f t="shared" si="5"/>
        <v>0</v>
      </c>
      <c r="D36" s="26">
        <f t="shared" si="5"/>
        <v>0</v>
      </c>
      <c r="E36" s="26">
        <f t="shared" si="5"/>
        <v>0</v>
      </c>
      <c r="F36" s="26">
        <f t="shared" si="5"/>
        <v>0</v>
      </c>
      <c r="G36" s="26">
        <f t="shared" si="5"/>
        <v>0</v>
      </c>
      <c r="H36" s="26">
        <f t="shared" si="5"/>
        <v>0</v>
      </c>
      <c r="I36" s="26">
        <f t="shared" si="5"/>
        <v>0</v>
      </c>
      <c r="J36" s="26">
        <f t="shared" si="5"/>
        <v>0</v>
      </c>
      <c r="K36" s="26">
        <f t="shared" si="5"/>
        <v>0</v>
      </c>
      <c r="L36" s="26">
        <f t="shared" si="5"/>
        <v>0</v>
      </c>
      <c r="M36" s="26">
        <f t="shared" si="5"/>
        <v>0</v>
      </c>
      <c r="N36" s="26">
        <f t="shared" si="5"/>
        <v>0</v>
      </c>
      <c r="O36" s="26">
        <f t="shared" si="5"/>
        <v>0</v>
      </c>
      <c r="P36" s="26">
        <f t="shared" si="5"/>
        <v>0</v>
      </c>
      <c r="Q36" s="26">
        <f t="shared" si="5"/>
        <v>0</v>
      </c>
      <c r="S36">
        <v>1.6</v>
      </c>
      <c r="T36" s="26">
        <f t="shared" si="3"/>
        <v>0</v>
      </c>
      <c r="U36" s="26">
        <f t="shared" si="6"/>
        <v>0</v>
      </c>
      <c r="V36" s="26">
        <f t="shared" si="6"/>
        <v>0</v>
      </c>
      <c r="W36" s="26">
        <f t="shared" si="6"/>
        <v>0</v>
      </c>
      <c r="X36" s="26">
        <f t="shared" si="6"/>
        <v>0</v>
      </c>
      <c r="Y36" s="26">
        <f t="shared" si="6"/>
        <v>0</v>
      </c>
      <c r="Z36" s="26">
        <f t="shared" si="6"/>
        <v>0</v>
      </c>
      <c r="AA36" s="26">
        <f t="shared" si="6"/>
        <v>0</v>
      </c>
      <c r="AB36" s="26">
        <f t="shared" si="6"/>
        <v>0</v>
      </c>
      <c r="AC36" s="26">
        <f t="shared" si="6"/>
        <v>0</v>
      </c>
      <c r="AD36" s="26">
        <f t="shared" si="6"/>
        <v>0</v>
      </c>
      <c r="AE36" s="26">
        <f t="shared" si="6"/>
        <v>0</v>
      </c>
      <c r="AF36" s="26">
        <f t="shared" si="6"/>
        <v>0</v>
      </c>
      <c r="AG36" s="26">
        <f t="shared" si="6"/>
        <v>0</v>
      </c>
      <c r="AH36" s="26">
        <f t="shared" si="4"/>
        <v>0</v>
      </c>
    </row>
    <row r="37" spans="2:34" x14ac:dyDescent="0.25">
      <c r="B37">
        <v>1.7</v>
      </c>
      <c r="C37" s="26">
        <f t="shared" si="5"/>
        <v>0</v>
      </c>
      <c r="D37" s="26">
        <f t="shared" si="5"/>
        <v>0</v>
      </c>
      <c r="E37" s="26">
        <f t="shared" si="5"/>
        <v>0</v>
      </c>
      <c r="F37" s="26">
        <f t="shared" si="5"/>
        <v>0</v>
      </c>
      <c r="G37" s="26">
        <f t="shared" si="5"/>
        <v>0</v>
      </c>
      <c r="H37" s="26">
        <f t="shared" si="5"/>
        <v>0</v>
      </c>
      <c r="I37" s="26">
        <f t="shared" si="5"/>
        <v>0</v>
      </c>
      <c r="J37" s="26">
        <f t="shared" si="5"/>
        <v>0</v>
      </c>
      <c r="K37" s="26">
        <f t="shared" si="5"/>
        <v>0</v>
      </c>
      <c r="L37" s="26">
        <f t="shared" si="5"/>
        <v>0</v>
      </c>
      <c r="M37" s="26">
        <f t="shared" si="5"/>
        <v>0</v>
      </c>
      <c r="N37" s="26">
        <f t="shared" si="5"/>
        <v>0</v>
      </c>
      <c r="O37" s="26">
        <f t="shared" si="5"/>
        <v>0</v>
      </c>
      <c r="P37" s="26">
        <f t="shared" si="5"/>
        <v>0</v>
      </c>
      <c r="Q37" s="26">
        <f t="shared" si="5"/>
        <v>0</v>
      </c>
      <c r="S37">
        <v>1.7</v>
      </c>
      <c r="T37" s="26">
        <f t="shared" si="3"/>
        <v>0</v>
      </c>
      <c r="U37" s="26">
        <f t="shared" si="6"/>
        <v>0</v>
      </c>
      <c r="V37" s="26">
        <f t="shared" si="6"/>
        <v>0</v>
      </c>
      <c r="W37" s="26">
        <f t="shared" si="6"/>
        <v>0</v>
      </c>
      <c r="X37" s="26">
        <f t="shared" si="6"/>
        <v>0</v>
      </c>
      <c r="Y37" s="26">
        <f t="shared" si="6"/>
        <v>0</v>
      </c>
      <c r="Z37" s="26">
        <f t="shared" si="6"/>
        <v>0</v>
      </c>
      <c r="AA37" s="26">
        <f t="shared" si="6"/>
        <v>0</v>
      </c>
      <c r="AB37" s="26">
        <f t="shared" si="6"/>
        <v>0</v>
      </c>
      <c r="AC37" s="26">
        <f t="shared" si="6"/>
        <v>0</v>
      </c>
      <c r="AD37" s="26">
        <f t="shared" si="6"/>
        <v>0</v>
      </c>
      <c r="AE37" s="26">
        <f t="shared" si="6"/>
        <v>0</v>
      </c>
      <c r="AF37" s="26">
        <f t="shared" si="6"/>
        <v>0</v>
      </c>
      <c r="AG37" s="26">
        <f t="shared" si="6"/>
        <v>0</v>
      </c>
      <c r="AH37" s="26">
        <f t="shared" si="4"/>
        <v>0</v>
      </c>
    </row>
    <row r="38" spans="2:34" x14ac:dyDescent="0.25">
      <c r="B38">
        <v>1.8</v>
      </c>
      <c r="C38" s="26">
        <f t="shared" si="5"/>
        <v>0</v>
      </c>
      <c r="D38" s="26">
        <f t="shared" si="5"/>
        <v>0</v>
      </c>
      <c r="E38" s="26">
        <f t="shared" si="5"/>
        <v>0</v>
      </c>
      <c r="F38" s="26">
        <f t="shared" si="5"/>
        <v>0</v>
      </c>
      <c r="G38" s="26">
        <f t="shared" si="5"/>
        <v>0</v>
      </c>
      <c r="H38" s="26">
        <f t="shared" si="5"/>
        <v>0</v>
      </c>
      <c r="I38" s="26">
        <f t="shared" si="5"/>
        <v>0</v>
      </c>
      <c r="J38" s="26">
        <f t="shared" si="5"/>
        <v>0</v>
      </c>
      <c r="K38" s="26">
        <f t="shared" si="5"/>
        <v>0</v>
      </c>
      <c r="L38" s="26">
        <f t="shared" si="5"/>
        <v>0</v>
      </c>
      <c r="M38" s="26">
        <f t="shared" si="5"/>
        <v>0</v>
      </c>
      <c r="N38" s="26">
        <f t="shared" si="5"/>
        <v>0</v>
      </c>
      <c r="O38" s="26">
        <f t="shared" si="5"/>
        <v>0</v>
      </c>
      <c r="P38" s="26">
        <f t="shared" si="5"/>
        <v>0</v>
      </c>
      <c r="Q38" s="26">
        <f t="shared" si="5"/>
        <v>0</v>
      </c>
      <c r="S38">
        <v>1.8</v>
      </c>
      <c r="T38" s="26">
        <f t="shared" si="3"/>
        <v>0</v>
      </c>
      <c r="U38" s="26">
        <f t="shared" si="6"/>
        <v>0</v>
      </c>
      <c r="V38" s="26">
        <f t="shared" si="6"/>
        <v>0</v>
      </c>
      <c r="W38" s="26">
        <f t="shared" si="6"/>
        <v>0</v>
      </c>
      <c r="X38" s="26">
        <f t="shared" si="6"/>
        <v>0</v>
      </c>
      <c r="Y38" s="26">
        <f t="shared" si="6"/>
        <v>0</v>
      </c>
      <c r="Z38" s="26">
        <f t="shared" si="6"/>
        <v>0</v>
      </c>
      <c r="AA38" s="26">
        <f t="shared" si="6"/>
        <v>0</v>
      </c>
      <c r="AB38" s="26">
        <f t="shared" si="6"/>
        <v>0</v>
      </c>
      <c r="AC38" s="26">
        <f t="shared" si="6"/>
        <v>0</v>
      </c>
      <c r="AD38" s="26">
        <f t="shared" si="6"/>
        <v>0</v>
      </c>
      <c r="AE38" s="26">
        <f t="shared" si="6"/>
        <v>0</v>
      </c>
      <c r="AF38" s="26">
        <f t="shared" si="6"/>
        <v>0</v>
      </c>
      <c r="AG38" s="26">
        <f t="shared" si="6"/>
        <v>0</v>
      </c>
      <c r="AH38" s="26">
        <f t="shared" si="4"/>
        <v>0</v>
      </c>
    </row>
    <row r="39" spans="2:34" x14ac:dyDescent="0.25">
      <c r="B39">
        <v>1.9</v>
      </c>
      <c r="C39" s="26">
        <f t="shared" si="5"/>
        <v>0</v>
      </c>
      <c r="D39" s="26">
        <f t="shared" si="5"/>
        <v>0</v>
      </c>
      <c r="E39" s="26">
        <f t="shared" si="5"/>
        <v>0</v>
      </c>
      <c r="F39" s="26">
        <f t="shared" si="5"/>
        <v>0</v>
      </c>
      <c r="G39" s="26">
        <f t="shared" si="5"/>
        <v>0</v>
      </c>
      <c r="H39" s="26">
        <f t="shared" si="5"/>
        <v>0</v>
      </c>
      <c r="I39" s="26">
        <f t="shared" si="5"/>
        <v>0</v>
      </c>
      <c r="J39" s="26">
        <f t="shared" si="5"/>
        <v>0</v>
      </c>
      <c r="K39" s="26">
        <f t="shared" si="5"/>
        <v>0</v>
      </c>
      <c r="L39" s="26">
        <f t="shared" si="5"/>
        <v>0</v>
      </c>
      <c r="M39" s="26">
        <f t="shared" si="5"/>
        <v>0</v>
      </c>
      <c r="N39" s="26">
        <f t="shared" si="5"/>
        <v>0</v>
      </c>
      <c r="O39" s="26">
        <f t="shared" si="5"/>
        <v>0</v>
      </c>
      <c r="P39" s="26">
        <f t="shared" si="5"/>
        <v>0</v>
      </c>
      <c r="Q39" s="26">
        <f t="shared" si="5"/>
        <v>0</v>
      </c>
      <c r="S39">
        <v>1.9</v>
      </c>
      <c r="T39" s="26">
        <f t="shared" si="3"/>
        <v>0</v>
      </c>
      <c r="U39" s="26">
        <f t="shared" si="6"/>
        <v>0</v>
      </c>
      <c r="V39" s="26">
        <f t="shared" si="6"/>
        <v>0</v>
      </c>
      <c r="W39" s="26">
        <f t="shared" si="6"/>
        <v>0</v>
      </c>
      <c r="X39" s="26">
        <f t="shared" si="6"/>
        <v>0</v>
      </c>
      <c r="Y39" s="26">
        <f t="shared" si="6"/>
        <v>0</v>
      </c>
      <c r="Z39" s="26">
        <f t="shared" si="6"/>
        <v>0</v>
      </c>
      <c r="AA39" s="26">
        <f t="shared" si="6"/>
        <v>0</v>
      </c>
      <c r="AB39" s="26">
        <f t="shared" si="6"/>
        <v>0</v>
      </c>
      <c r="AC39" s="26">
        <f t="shared" si="6"/>
        <v>0</v>
      </c>
      <c r="AD39" s="26">
        <f t="shared" si="6"/>
        <v>0</v>
      </c>
      <c r="AE39" s="26">
        <f t="shared" si="6"/>
        <v>0</v>
      </c>
      <c r="AF39" s="26">
        <f t="shared" si="6"/>
        <v>0</v>
      </c>
      <c r="AG39" s="26">
        <f t="shared" si="6"/>
        <v>0</v>
      </c>
      <c r="AH39" s="26">
        <f t="shared" si="4"/>
        <v>0</v>
      </c>
    </row>
    <row r="40" spans="2:34" x14ac:dyDescent="0.25">
      <c r="B40">
        <v>2</v>
      </c>
      <c r="C40" s="26">
        <f t="shared" si="5"/>
        <v>0</v>
      </c>
      <c r="D40" s="26">
        <f t="shared" si="5"/>
        <v>0</v>
      </c>
      <c r="E40" s="26">
        <f t="shared" si="5"/>
        <v>0</v>
      </c>
      <c r="F40" s="26">
        <f t="shared" si="5"/>
        <v>0</v>
      </c>
      <c r="G40" s="26">
        <f t="shared" si="5"/>
        <v>0</v>
      </c>
      <c r="H40" s="26">
        <f t="shared" si="5"/>
        <v>0</v>
      </c>
      <c r="I40" s="26">
        <f t="shared" si="5"/>
        <v>0</v>
      </c>
      <c r="J40" s="26">
        <f t="shared" si="5"/>
        <v>0</v>
      </c>
      <c r="K40" s="26">
        <f t="shared" si="5"/>
        <v>0</v>
      </c>
      <c r="L40" s="26">
        <f t="shared" si="5"/>
        <v>0</v>
      </c>
      <c r="M40" s="26">
        <f t="shared" si="5"/>
        <v>0</v>
      </c>
      <c r="N40" s="26">
        <f t="shared" si="5"/>
        <v>0</v>
      </c>
      <c r="O40" s="26">
        <f t="shared" si="5"/>
        <v>0</v>
      </c>
      <c r="P40" s="26">
        <f t="shared" si="5"/>
        <v>0</v>
      </c>
      <c r="Q40" s="26">
        <f t="shared" si="5"/>
        <v>0</v>
      </c>
      <c r="S40">
        <v>2</v>
      </c>
      <c r="T40" s="26">
        <f t="shared" si="3"/>
        <v>0</v>
      </c>
      <c r="U40" s="26">
        <f t="shared" si="6"/>
        <v>0</v>
      </c>
      <c r="V40" s="26">
        <f t="shared" si="6"/>
        <v>0</v>
      </c>
      <c r="W40" s="26">
        <f t="shared" si="6"/>
        <v>0</v>
      </c>
      <c r="X40" s="26">
        <f t="shared" si="6"/>
        <v>0</v>
      </c>
      <c r="Y40" s="26">
        <f t="shared" si="6"/>
        <v>0</v>
      </c>
      <c r="Z40" s="26">
        <f t="shared" si="6"/>
        <v>0</v>
      </c>
      <c r="AA40" s="26">
        <f t="shared" si="6"/>
        <v>0</v>
      </c>
      <c r="AB40" s="26">
        <f t="shared" si="6"/>
        <v>0</v>
      </c>
      <c r="AC40" s="26">
        <f t="shared" si="6"/>
        <v>0</v>
      </c>
      <c r="AD40" s="26">
        <f t="shared" si="6"/>
        <v>0</v>
      </c>
      <c r="AE40" s="26">
        <f t="shared" si="6"/>
        <v>0</v>
      </c>
      <c r="AF40" s="26">
        <f t="shared" si="6"/>
        <v>0</v>
      </c>
      <c r="AG40" s="26">
        <f t="shared" si="6"/>
        <v>0</v>
      </c>
      <c r="AH40" s="26">
        <f t="shared" si="4"/>
        <v>0</v>
      </c>
    </row>
    <row r="41" spans="2:34" x14ac:dyDescent="0.25">
      <c r="B41">
        <v>2.2000000000000002</v>
      </c>
      <c r="C41" s="26">
        <f t="shared" si="5"/>
        <v>0</v>
      </c>
      <c r="D41" s="26">
        <f t="shared" si="5"/>
        <v>0</v>
      </c>
      <c r="E41" s="26">
        <f t="shared" si="5"/>
        <v>0</v>
      </c>
      <c r="F41" s="26">
        <f t="shared" si="5"/>
        <v>0</v>
      </c>
      <c r="G41" s="26">
        <f t="shared" si="5"/>
        <v>0</v>
      </c>
      <c r="H41" s="26">
        <f t="shared" si="5"/>
        <v>0</v>
      </c>
      <c r="I41" s="26">
        <f t="shared" si="5"/>
        <v>0</v>
      </c>
      <c r="J41" s="26">
        <f t="shared" si="5"/>
        <v>0</v>
      </c>
      <c r="K41" s="26">
        <f t="shared" si="5"/>
        <v>0</v>
      </c>
      <c r="L41" s="26">
        <f t="shared" ref="D41:Q47" si="7">LK_Z0($B41,L$7,$F$2,$G$2)</f>
        <v>0</v>
      </c>
      <c r="M41" s="26">
        <f t="shared" si="7"/>
        <v>0</v>
      </c>
      <c r="N41" s="26">
        <f t="shared" si="7"/>
        <v>0</v>
      </c>
      <c r="O41" s="26">
        <f t="shared" si="7"/>
        <v>0</v>
      </c>
      <c r="P41" s="26">
        <f t="shared" si="7"/>
        <v>0</v>
      </c>
      <c r="Q41" s="26">
        <f t="shared" si="7"/>
        <v>0</v>
      </c>
      <c r="S41">
        <v>2.2000000000000002</v>
      </c>
      <c r="T41" s="26">
        <f t="shared" si="3"/>
        <v>0</v>
      </c>
      <c r="U41" s="26">
        <f t="shared" ref="U41:AG47" si="8">LK_Z0($S41,U$7,$F$2,$G$3)</f>
        <v>0</v>
      </c>
      <c r="V41" s="26">
        <f t="shared" si="8"/>
        <v>0</v>
      </c>
      <c r="W41" s="26">
        <f t="shared" si="8"/>
        <v>0</v>
      </c>
      <c r="X41" s="26">
        <f t="shared" si="8"/>
        <v>0</v>
      </c>
      <c r="Y41" s="26">
        <f t="shared" si="8"/>
        <v>0</v>
      </c>
      <c r="Z41" s="26">
        <f t="shared" si="8"/>
        <v>0</v>
      </c>
      <c r="AA41" s="26">
        <f t="shared" si="8"/>
        <v>0</v>
      </c>
      <c r="AB41" s="26">
        <f t="shared" si="8"/>
        <v>0</v>
      </c>
      <c r="AC41" s="26">
        <f t="shared" si="8"/>
        <v>0</v>
      </c>
      <c r="AD41" s="26">
        <f t="shared" si="8"/>
        <v>0</v>
      </c>
      <c r="AE41" s="26">
        <f t="shared" si="8"/>
        <v>0</v>
      </c>
      <c r="AF41" s="26">
        <f t="shared" si="8"/>
        <v>0</v>
      </c>
      <c r="AG41" s="26">
        <f t="shared" si="8"/>
        <v>0</v>
      </c>
      <c r="AH41" s="26">
        <f t="shared" si="4"/>
        <v>0</v>
      </c>
    </row>
    <row r="42" spans="2:34" x14ac:dyDescent="0.25">
      <c r="B42">
        <v>2.4</v>
      </c>
      <c r="C42" s="26">
        <f t="shared" si="5"/>
        <v>0</v>
      </c>
      <c r="D42" s="26">
        <f t="shared" si="7"/>
        <v>0</v>
      </c>
      <c r="E42" s="26">
        <f t="shared" si="7"/>
        <v>0</v>
      </c>
      <c r="F42" s="26">
        <f t="shared" si="7"/>
        <v>0</v>
      </c>
      <c r="G42" s="26">
        <f t="shared" si="7"/>
        <v>0</v>
      </c>
      <c r="H42" s="26">
        <f t="shared" si="7"/>
        <v>0</v>
      </c>
      <c r="I42" s="26">
        <f t="shared" si="7"/>
        <v>0</v>
      </c>
      <c r="J42" s="26">
        <f t="shared" si="7"/>
        <v>0</v>
      </c>
      <c r="K42" s="26">
        <f t="shared" si="7"/>
        <v>0</v>
      </c>
      <c r="L42" s="26">
        <f t="shared" si="7"/>
        <v>0</v>
      </c>
      <c r="M42" s="26">
        <f t="shared" si="7"/>
        <v>0</v>
      </c>
      <c r="N42" s="26">
        <f t="shared" si="7"/>
        <v>0</v>
      </c>
      <c r="O42" s="26">
        <f t="shared" si="7"/>
        <v>0</v>
      </c>
      <c r="P42" s="26">
        <f t="shared" si="7"/>
        <v>0</v>
      </c>
      <c r="Q42" s="26">
        <f t="shared" si="7"/>
        <v>0</v>
      </c>
      <c r="S42">
        <v>2.4</v>
      </c>
      <c r="T42" s="26">
        <f t="shared" si="3"/>
        <v>0</v>
      </c>
      <c r="U42" s="26">
        <f t="shared" si="8"/>
        <v>0</v>
      </c>
      <c r="V42" s="26">
        <f t="shared" si="8"/>
        <v>0</v>
      </c>
      <c r="W42" s="26">
        <f t="shared" si="8"/>
        <v>0</v>
      </c>
      <c r="X42" s="26">
        <f t="shared" si="8"/>
        <v>0</v>
      </c>
      <c r="Y42" s="26">
        <f t="shared" si="8"/>
        <v>0</v>
      </c>
      <c r="Z42" s="26">
        <f t="shared" si="8"/>
        <v>0</v>
      </c>
      <c r="AA42" s="26">
        <f t="shared" si="8"/>
        <v>0</v>
      </c>
      <c r="AB42" s="26">
        <f t="shared" si="8"/>
        <v>0</v>
      </c>
      <c r="AC42" s="26">
        <f t="shared" si="8"/>
        <v>0</v>
      </c>
      <c r="AD42" s="26">
        <f t="shared" si="8"/>
        <v>0</v>
      </c>
      <c r="AE42" s="26">
        <f t="shared" si="8"/>
        <v>0</v>
      </c>
      <c r="AF42" s="26">
        <f t="shared" si="8"/>
        <v>0</v>
      </c>
      <c r="AG42" s="26">
        <f t="shared" si="8"/>
        <v>0</v>
      </c>
      <c r="AH42" s="26">
        <f t="shared" si="4"/>
        <v>0</v>
      </c>
    </row>
    <row r="43" spans="2:34" x14ac:dyDescent="0.25">
      <c r="B43">
        <v>2.6</v>
      </c>
      <c r="C43" s="26">
        <f t="shared" si="5"/>
        <v>0</v>
      </c>
      <c r="D43" s="26">
        <f t="shared" si="7"/>
        <v>0</v>
      </c>
      <c r="E43" s="26">
        <f t="shared" si="7"/>
        <v>0</v>
      </c>
      <c r="F43" s="26">
        <f t="shared" si="7"/>
        <v>0</v>
      </c>
      <c r="G43" s="26">
        <f t="shared" si="7"/>
        <v>0</v>
      </c>
      <c r="H43" s="26">
        <f t="shared" si="7"/>
        <v>0</v>
      </c>
      <c r="I43" s="26">
        <f t="shared" si="7"/>
        <v>0</v>
      </c>
      <c r="J43" s="26">
        <f t="shared" si="7"/>
        <v>0</v>
      </c>
      <c r="K43" s="26">
        <f t="shared" si="7"/>
        <v>0</v>
      </c>
      <c r="L43" s="26">
        <f t="shared" si="7"/>
        <v>0</v>
      </c>
      <c r="M43" s="26">
        <f t="shared" si="7"/>
        <v>0</v>
      </c>
      <c r="N43" s="26">
        <f t="shared" si="7"/>
        <v>0</v>
      </c>
      <c r="O43" s="26">
        <f t="shared" si="7"/>
        <v>0</v>
      </c>
      <c r="P43" s="26">
        <f t="shared" si="7"/>
        <v>0</v>
      </c>
      <c r="Q43" s="26">
        <f t="shared" si="7"/>
        <v>0</v>
      </c>
      <c r="S43">
        <v>2.6</v>
      </c>
      <c r="T43" s="26">
        <f t="shared" si="3"/>
        <v>0</v>
      </c>
      <c r="U43" s="26">
        <f t="shared" si="8"/>
        <v>0</v>
      </c>
      <c r="V43" s="26">
        <f t="shared" si="8"/>
        <v>0</v>
      </c>
      <c r="W43" s="26">
        <f t="shared" si="8"/>
        <v>0</v>
      </c>
      <c r="X43" s="26">
        <f t="shared" si="8"/>
        <v>0</v>
      </c>
      <c r="Y43" s="26">
        <f t="shared" si="8"/>
        <v>0</v>
      </c>
      <c r="Z43" s="26">
        <f t="shared" si="8"/>
        <v>0</v>
      </c>
      <c r="AA43" s="26">
        <f t="shared" si="8"/>
        <v>0</v>
      </c>
      <c r="AB43" s="26">
        <f t="shared" si="8"/>
        <v>0</v>
      </c>
      <c r="AC43" s="26">
        <f t="shared" si="8"/>
        <v>0</v>
      </c>
      <c r="AD43" s="26">
        <f t="shared" si="8"/>
        <v>0</v>
      </c>
      <c r="AE43" s="26">
        <f t="shared" si="8"/>
        <v>0</v>
      </c>
      <c r="AF43" s="26">
        <f t="shared" si="8"/>
        <v>0</v>
      </c>
      <c r="AG43" s="26">
        <f t="shared" si="8"/>
        <v>0</v>
      </c>
      <c r="AH43" s="26">
        <f t="shared" si="4"/>
        <v>0</v>
      </c>
    </row>
    <row r="44" spans="2:34" x14ac:dyDescent="0.25">
      <c r="B44">
        <v>2.8</v>
      </c>
      <c r="C44" s="26">
        <f t="shared" si="5"/>
        <v>0</v>
      </c>
      <c r="D44" s="26">
        <f t="shared" si="7"/>
        <v>0</v>
      </c>
      <c r="E44" s="26">
        <f t="shared" si="7"/>
        <v>0</v>
      </c>
      <c r="F44" s="26">
        <f t="shared" si="7"/>
        <v>0</v>
      </c>
      <c r="G44" s="26">
        <f t="shared" si="7"/>
        <v>0</v>
      </c>
      <c r="H44" s="26">
        <f t="shared" si="7"/>
        <v>0</v>
      </c>
      <c r="I44" s="26">
        <f t="shared" si="7"/>
        <v>0</v>
      </c>
      <c r="J44" s="26">
        <f t="shared" si="7"/>
        <v>0</v>
      </c>
      <c r="K44" s="26">
        <f t="shared" si="7"/>
        <v>0</v>
      </c>
      <c r="L44" s="26">
        <f t="shared" si="7"/>
        <v>0</v>
      </c>
      <c r="M44" s="26">
        <f t="shared" si="7"/>
        <v>0</v>
      </c>
      <c r="N44" s="26">
        <f t="shared" si="7"/>
        <v>0</v>
      </c>
      <c r="O44" s="26">
        <f t="shared" si="7"/>
        <v>0</v>
      </c>
      <c r="P44" s="26">
        <f t="shared" si="7"/>
        <v>0</v>
      </c>
      <c r="Q44" s="26">
        <f t="shared" si="7"/>
        <v>0</v>
      </c>
      <c r="S44">
        <v>2.8</v>
      </c>
      <c r="T44" s="26">
        <f t="shared" si="3"/>
        <v>0</v>
      </c>
      <c r="U44" s="26">
        <f t="shared" si="8"/>
        <v>0</v>
      </c>
      <c r="V44" s="26">
        <f t="shared" si="8"/>
        <v>0</v>
      </c>
      <c r="W44" s="26">
        <f t="shared" si="8"/>
        <v>0</v>
      </c>
      <c r="X44" s="26">
        <f t="shared" si="8"/>
        <v>0</v>
      </c>
      <c r="Y44" s="26">
        <f t="shared" si="8"/>
        <v>0</v>
      </c>
      <c r="Z44" s="26">
        <f t="shared" si="8"/>
        <v>0</v>
      </c>
      <c r="AA44" s="26">
        <f t="shared" si="8"/>
        <v>0</v>
      </c>
      <c r="AB44" s="26">
        <f t="shared" si="8"/>
        <v>0</v>
      </c>
      <c r="AC44" s="26">
        <f t="shared" si="8"/>
        <v>0</v>
      </c>
      <c r="AD44" s="26">
        <f t="shared" si="8"/>
        <v>0</v>
      </c>
      <c r="AE44" s="26">
        <f t="shared" si="8"/>
        <v>0</v>
      </c>
      <c r="AF44" s="26">
        <f t="shared" si="8"/>
        <v>0</v>
      </c>
      <c r="AG44" s="26">
        <f t="shared" si="8"/>
        <v>0</v>
      </c>
      <c r="AH44" s="26">
        <f t="shared" si="4"/>
        <v>0</v>
      </c>
    </row>
    <row r="45" spans="2:34" x14ac:dyDescent="0.25">
      <c r="B45">
        <v>3</v>
      </c>
      <c r="C45" s="26">
        <f t="shared" si="5"/>
        <v>0</v>
      </c>
      <c r="D45" s="26">
        <f t="shared" si="7"/>
        <v>0</v>
      </c>
      <c r="E45" s="26">
        <f t="shared" si="7"/>
        <v>0</v>
      </c>
      <c r="F45" s="26">
        <f t="shared" si="7"/>
        <v>0</v>
      </c>
      <c r="G45" s="26">
        <f t="shared" si="7"/>
        <v>0</v>
      </c>
      <c r="H45" s="26">
        <f t="shared" si="7"/>
        <v>0</v>
      </c>
      <c r="I45" s="26">
        <f t="shared" si="7"/>
        <v>0</v>
      </c>
      <c r="J45" s="26">
        <f t="shared" si="7"/>
        <v>0</v>
      </c>
      <c r="K45" s="26">
        <f t="shared" si="7"/>
        <v>0</v>
      </c>
      <c r="L45" s="26">
        <f t="shared" si="7"/>
        <v>0</v>
      </c>
      <c r="M45" s="26">
        <f t="shared" si="7"/>
        <v>0</v>
      </c>
      <c r="N45" s="26">
        <f t="shared" si="7"/>
        <v>0</v>
      </c>
      <c r="O45" s="26">
        <f t="shared" si="7"/>
        <v>0</v>
      </c>
      <c r="P45" s="26">
        <f t="shared" si="7"/>
        <v>0</v>
      </c>
      <c r="Q45" s="26">
        <f t="shared" si="7"/>
        <v>0</v>
      </c>
      <c r="S45">
        <v>3</v>
      </c>
      <c r="T45" s="26">
        <f t="shared" si="3"/>
        <v>0</v>
      </c>
      <c r="U45" s="26">
        <f t="shared" si="8"/>
        <v>0</v>
      </c>
      <c r="V45" s="26">
        <f t="shared" si="8"/>
        <v>0</v>
      </c>
      <c r="W45" s="26">
        <f t="shared" si="8"/>
        <v>0</v>
      </c>
      <c r="X45" s="26">
        <f t="shared" si="8"/>
        <v>0</v>
      </c>
      <c r="Y45" s="26">
        <f t="shared" si="8"/>
        <v>0</v>
      </c>
      <c r="Z45" s="26">
        <f t="shared" si="8"/>
        <v>0</v>
      </c>
      <c r="AA45" s="26">
        <f t="shared" si="8"/>
        <v>0</v>
      </c>
      <c r="AB45" s="26">
        <f t="shared" si="8"/>
        <v>0</v>
      </c>
      <c r="AC45" s="26">
        <f t="shared" si="8"/>
        <v>0</v>
      </c>
      <c r="AD45" s="26">
        <f t="shared" si="8"/>
        <v>0</v>
      </c>
      <c r="AE45" s="26">
        <f t="shared" si="8"/>
        <v>0</v>
      </c>
      <c r="AF45" s="26">
        <f t="shared" si="8"/>
        <v>0</v>
      </c>
      <c r="AG45" s="26">
        <f t="shared" si="8"/>
        <v>0</v>
      </c>
      <c r="AH45" s="26">
        <f t="shared" si="4"/>
        <v>0</v>
      </c>
    </row>
    <row r="46" spans="2:34" x14ac:dyDescent="0.25">
      <c r="B46">
        <v>3.5</v>
      </c>
      <c r="C46" s="26">
        <f t="shared" si="5"/>
        <v>0</v>
      </c>
      <c r="D46" s="26">
        <f t="shared" si="7"/>
        <v>0</v>
      </c>
      <c r="E46" s="26">
        <f t="shared" si="7"/>
        <v>0</v>
      </c>
      <c r="F46" s="26">
        <f t="shared" si="7"/>
        <v>0</v>
      </c>
      <c r="G46" s="26">
        <f t="shared" si="7"/>
        <v>0</v>
      </c>
      <c r="H46" s="26">
        <f t="shared" si="7"/>
        <v>0</v>
      </c>
      <c r="I46" s="26">
        <f t="shared" si="7"/>
        <v>0</v>
      </c>
      <c r="J46" s="26">
        <f t="shared" si="7"/>
        <v>0</v>
      </c>
      <c r="K46" s="26">
        <f t="shared" si="7"/>
        <v>0</v>
      </c>
      <c r="L46" s="26">
        <f t="shared" si="7"/>
        <v>0</v>
      </c>
      <c r="M46" s="26">
        <f t="shared" si="7"/>
        <v>0</v>
      </c>
      <c r="N46" s="26">
        <f t="shared" si="7"/>
        <v>0</v>
      </c>
      <c r="O46" s="26">
        <f t="shared" si="7"/>
        <v>0</v>
      </c>
      <c r="P46" s="26">
        <f t="shared" si="7"/>
        <v>0</v>
      </c>
      <c r="Q46" s="26">
        <f t="shared" si="7"/>
        <v>0</v>
      </c>
      <c r="S46">
        <v>3.5</v>
      </c>
      <c r="T46" s="26">
        <f t="shared" si="3"/>
        <v>0</v>
      </c>
      <c r="U46" s="26">
        <f t="shared" si="8"/>
        <v>0</v>
      </c>
      <c r="V46" s="26">
        <f t="shared" si="8"/>
        <v>0</v>
      </c>
      <c r="W46" s="26">
        <f t="shared" si="8"/>
        <v>0</v>
      </c>
      <c r="X46" s="26">
        <f t="shared" si="8"/>
        <v>0</v>
      </c>
      <c r="Y46" s="26">
        <f t="shared" si="8"/>
        <v>0</v>
      </c>
      <c r="Z46" s="26">
        <f t="shared" si="8"/>
        <v>0</v>
      </c>
      <c r="AA46" s="26">
        <f t="shared" si="8"/>
        <v>0</v>
      </c>
      <c r="AB46" s="26">
        <f t="shared" si="8"/>
        <v>0</v>
      </c>
      <c r="AC46" s="26">
        <f t="shared" si="8"/>
        <v>0</v>
      </c>
      <c r="AD46" s="26">
        <f t="shared" si="8"/>
        <v>0</v>
      </c>
      <c r="AE46" s="26">
        <f t="shared" si="8"/>
        <v>0</v>
      </c>
      <c r="AF46" s="26">
        <f t="shared" si="8"/>
        <v>0</v>
      </c>
      <c r="AG46" s="26">
        <f t="shared" si="8"/>
        <v>0</v>
      </c>
      <c r="AH46" s="26">
        <f t="shared" si="4"/>
        <v>0</v>
      </c>
    </row>
    <row r="47" spans="2:34" x14ac:dyDescent="0.25">
      <c r="B47">
        <v>4</v>
      </c>
      <c r="C47" s="26">
        <f t="shared" si="5"/>
        <v>0</v>
      </c>
      <c r="D47" s="26">
        <f t="shared" si="7"/>
        <v>0</v>
      </c>
      <c r="E47" s="26">
        <f t="shared" si="7"/>
        <v>0</v>
      </c>
      <c r="F47" s="26">
        <f t="shared" si="7"/>
        <v>0</v>
      </c>
      <c r="G47" s="26">
        <f t="shared" si="7"/>
        <v>0</v>
      </c>
      <c r="H47" s="26">
        <f t="shared" si="7"/>
        <v>0</v>
      </c>
      <c r="I47" s="26">
        <f t="shared" si="7"/>
        <v>0</v>
      </c>
      <c r="J47" s="26">
        <f t="shared" si="7"/>
        <v>0</v>
      </c>
      <c r="K47" s="26">
        <f t="shared" si="7"/>
        <v>0</v>
      </c>
      <c r="L47" s="26">
        <f t="shared" si="7"/>
        <v>0</v>
      </c>
      <c r="M47" s="26">
        <f t="shared" si="7"/>
        <v>0</v>
      </c>
      <c r="N47" s="26">
        <f t="shared" si="7"/>
        <v>0</v>
      </c>
      <c r="O47" s="26">
        <f t="shared" si="7"/>
        <v>0</v>
      </c>
      <c r="P47" s="26">
        <f t="shared" si="7"/>
        <v>0</v>
      </c>
      <c r="Q47" s="26">
        <f t="shared" si="7"/>
        <v>0</v>
      </c>
      <c r="S47">
        <v>4</v>
      </c>
      <c r="T47" s="26">
        <f t="shared" si="3"/>
        <v>0</v>
      </c>
      <c r="U47" s="26">
        <f t="shared" si="8"/>
        <v>0</v>
      </c>
      <c r="V47" s="26">
        <f t="shared" si="8"/>
        <v>0</v>
      </c>
      <c r="W47" s="26">
        <f t="shared" si="8"/>
        <v>0</v>
      </c>
      <c r="X47" s="26">
        <f t="shared" si="8"/>
        <v>0</v>
      </c>
      <c r="Y47" s="26">
        <f t="shared" si="8"/>
        <v>0</v>
      </c>
      <c r="Z47" s="26">
        <f t="shared" si="8"/>
        <v>0</v>
      </c>
      <c r="AA47" s="26">
        <f t="shared" si="8"/>
        <v>0</v>
      </c>
      <c r="AB47" s="26">
        <f t="shared" si="8"/>
        <v>0</v>
      </c>
      <c r="AC47" s="26">
        <f t="shared" si="8"/>
        <v>0</v>
      </c>
      <c r="AD47" s="26">
        <f t="shared" si="8"/>
        <v>0</v>
      </c>
      <c r="AE47" s="26">
        <f t="shared" si="8"/>
        <v>0</v>
      </c>
      <c r="AF47" s="26">
        <f t="shared" si="8"/>
        <v>0</v>
      </c>
      <c r="AG47" s="26">
        <f t="shared" si="8"/>
        <v>0</v>
      </c>
      <c r="AH47" s="26">
        <f t="shared" si="4"/>
        <v>0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AH47"/>
  <sheetViews>
    <sheetView zoomScale="70" zoomScaleNormal="70" workbookViewId="0">
      <selection activeCell="P27" sqref="P27"/>
    </sheetView>
  </sheetViews>
  <sheetFormatPr defaultRowHeight="15" x14ac:dyDescent="0.25"/>
  <sheetData>
    <row r="1" spans="1:34" x14ac:dyDescent="0.25">
      <c r="A1" t="s">
        <v>233</v>
      </c>
      <c r="B1" t="s">
        <v>234</v>
      </c>
      <c r="C1">
        <v>425.1</v>
      </c>
      <c r="D1" t="s">
        <v>237</v>
      </c>
    </row>
    <row r="2" spans="1:34" x14ac:dyDescent="0.25">
      <c r="B2" t="s">
        <v>235</v>
      </c>
      <c r="C2">
        <v>37.96</v>
      </c>
      <c r="D2" t="s">
        <v>236</v>
      </c>
      <c r="E2" t="s">
        <v>81</v>
      </c>
      <c r="F2">
        <v>0.20100000000000001</v>
      </c>
      <c r="G2">
        <v>1</v>
      </c>
    </row>
    <row r="3" spans="1:34" x14ac:dyDescent="0.25">
      <c r="B3" t="s">
        <v>231</v>
      </c>
      <c r="C3">
        <f>(25+275.1)/C1</f>
        <v>0.70595154081392619</v>
      </c>
      <c r="G3">
        <v>2</v>
      </c>
    </row>
    <row r="4" spans="1:34" x14ac:dyDescent="0.25">
      <c r="B4" t="s">
        <v>232</v>
      </c>
      <c r="C4">
        <v>1</v>
      </c>
    </row>
    <row r="6" spans="1:34" x14ac:dyDescent="0.25">
      <c r="B6" s="6" t="s">
        <v>238</v>
      </c>
      <c r="C6" s="6" t="s">
        <v>232</v>
      </c>
      <c r="S6" s="6" t="s">
        <v>240</v>
      </c>
      <c r="T6" s="6" t="s">
        <v>232</v>
      </c>
    </row>
    <row r="7" spans="1:34" x14ac:dyDescent="0.25">
      <c r="B7" s="6" t="s">
        <v>231</v>
      </c>
      <c r="C7">
        <v>0.01</v>
      </c>
      <c r="D7">
        <v>0.05</v>
      </c>
      <c r="E7">
        <v>0.1</v>
      </c>
      <c r="F7">
        <v>0.2</v>
      </c>
      <c r="G7">
        <v>0.4</v>
      </c>
      <c r="H7">
        <v>0.6</v>
      </c>
      <c r="I7">
        <v>0.8</v>
      </c>
      <c r="J7">
        <v>1</v>
      </c>
      <c r="K7">
        <v>1.2</v>
      </c>
      <c r="L7">
        <v>1.5</v>
      </c>
      <c r="M7">
        <v>2</v>
      </c>
      <c r="N7">
        <v>3</v>
      </c>
      <c r="O7">
        <v>5</v>
      </c>
      <c r="P7">
        <v>7</v>
      </c>
      <c r="Q7">
        <v>10</v>
      </c>
      <c r="S7" s="6" t="s">
        <v>231</v>
      </c>
      <c r="T7">
        <v>0.01</v>
      </c>
      <c r="U7">
        <v>0.05</v>
      </c>
      <c r="V7">
        <v>0.1</v>
      </c>
      <c r="W7">
        <v>0.2</v>
      </c>
      <c r="X7">
        <v>0.4</v>
      </c>
      <c r="Y7">
        <v>0.6</v>
      </c>
      <c r="Z7">
        <v>0.8</v>
      </c>
      <c r="AA7">
        <v>1</v>
      </c>
      <c r="AB7">
        <v>1.2</v>
      </c>
      <c r="AC7">
        <v>1.5</v>
      </c>
      <c r="AD7">
        <v>2</v>
      </c>
      <c r="AE7">
        <v>3</v>
      </c>
      <c r="AF7">
        <v>5</v>
      </c>
      <c r="AG7">
        <v>7</v>
      </c>
      <c r="AH7">
        <v>10</v>
      </c>
    </row>
    <row r="8" spans="1:34" x14ac:dyDescent="0.25">
      <c r="B8">
        <v>0.3</v>
      </c>
      <c r="C8" s="26">
        <f>LK_Z1($B8,C$7,$F$2,$G$2)</f>
        <v>0</v>
      </c>
      <c r="D8" s="26">
        <f t="shared" ref="D8:P8" si="0">LK_Z1($B8,D$7,$F$2,$G$2)</f>
        <v>0</v>
      </c>
      <c r="E8" s="26">
        <f t="shared" si="0"/>
        <v>0</v>
      </c>
      <c r="F8" s="26">
        <f t="shared" si="0"/>
        <v>0</v>
      </c>
      <c r="G8" s="26">
        <f t="shared" si="0"/>
        <v>0</v>
      </c>
      <c r="H8" s="26">
        <f t="shared" si="0"/>
        <v>0</v>
      </c>
      <c r="I8" s="26">
        <f t="shared" si="0"/>
        <v>0</v>
      </c>
      <c r="J8" s="26">
        <f t="shared" si="0"/>
        <v>0</v>
      </c>
      <c r="K8" s="26">
        <f t="shared" si="0"/>
        <v>0</v>
      </c>
      <c r="L8" s="26">
        <f t="shared" si="0"/>
        <v>0</v>
      </c>
      <c r="M8" s="26">
        <f t="shared" si="0"/>
        <v>0</v>
      </c>
      <c r="N8" s="26">
        <f t="shared" si="0"/>
        <v>0</v>
      </c>
      <c r="O8" s="26">
        <f t="shared" si="0"/>
        <v>0</v>
      </c>
      <c r="P8" s="26">
        <f t="shared" si="0"/>
        <v>0</v>
      </c>
      <c r="Q8" s="26">
        <f>LK_Z1($B8,Q$7,$F$2,$G$2)</f>
        <v>0</v>
      </c>
      <c r="S8">
        <v>0.3</v>
      </c>
      <c r="T8" s="26">
        <f>LK_Z1($S8,T$7,$F$2,$G$3)</f>
        <v>0</v>
      </c>
      <c r="U8" s="26">
        <f t="shared" ref="U8:AH23" si="1">LK_Z1($S8,U$7,$F$2,$G$3)</f>
        <v>0</v>
      </c>
      <c r="V8" s="26">
        <f t="shared" si="1"/>
        <v>0</v>
      </c>
      <c r="W8" s="26">
        <f t="shared" si="1"/>
        <v>0</v>
      </c>
      <c r="X8" s="26">
        <f t="shared" si="1"/>
        <v>0</v>
      </c>
      <c r="Y8" s="26">
        <f t="shared" si="1"/>
        <v>0</v>
      </c>
      <c r="Z8" s="26">
        <f t="shared" si="1"/>
        <v>0</v>
      </c>
      <c r="AA8" s="26">
        <f t="shared" si="1"/>
        <v>0</v>
      </c>
      <c r="AB8" s="26">
        <f t="shared" si="1"/>
        <v>0</v>
      </c>
      <c r="AC8" s="26">
        <f t="shared" si="1"/>
        <v>0</v>
      </c>
      <c r="AD8" s="26">
        <f t="shared" si="1"/>
        <v>0</v>
      </c>
      <c r="AE8" s="26">
        <f t="shared" si="1"/>
        <v>0</v>
      </c>
      <c r="AF8" s="26">
        <f t="shared" si="1"/>
        <v>0</v>
      </c>
      <c r="AG8" s="26">
        <f t="shared" si="1"/>
        <v>0</v>
      </c>
      <c r="AH8" s="26">
        <f t="shared" si="1"/>
        <v>0</v>
      </c>
    </row>
    <row r="9" spans="1:34" x14ac:dyDescent="0.25">
      <c r="B9">
        <v>0.35</v>
      </c>
      <c r="C9" s="26">
        <f t="shared" ref="C9:P47" si="2">LK_Z1($B9,C$7,$F$2,$G$2)</f>
        <v>0</v>
      </c>
      <c r="D9" s="26">
        <f t="shared" si="2"/>
        <v>0</v>
      </c>
      <c r="E9" s="26">
        <f t="shared" si="2"/>
        <v>0</v>
      </c>
      <c r="F9" s="26">
        <f t="shared" si="2"/>
        <v>0</v>
      </c>
      <c r="G9" s="26">
        <f t="shared" si="2"/>
        <v>0</v>
      </c>
      <c r="H9" s="26">
        <f t="shared" si="2"/>
        <v>0</v>
      </c>
      <c r="I9" s="26">
        <f t="shared" si="2"/>
        <v>0</v>
      </c>
      <c r="J9" s="26">
        <f t="shared" si="2"/>
        <v>0</v>
      </c>
      <c r="K9" s="26">
        <f t="shared" si="2"/>
        <v>0</v>
      </c>
      <c r="L9" s="26">
        <f t="shared" si="2"/>
        <v>0</v>
      </c>
      <c r="M9" s="26">
        <f t="shared" si="2"/>
        <v>0</v>
      </c>
      <c r="N9" s="26">
        <f t="shared" si="2"/>
        <v>0</v>
      </c>
      <c r="O9" s="26">
        <f t="shared" si="2"/>
        <v>0</v>
      </c>
      <c r="P9" s="26">
        <f t="shared" si="2"/>
        <v>0</v>
      </c>
      <c r="Q9" s="26">
        <f t="shared" ref="Q9:Q47" si="3">LK_Z1($B9,Q$7,$F$2,$G$2)</f>
        <v>0</v>
      </c>
      <c r="S9">
        <v>0.35</v>
      </c>
      <c r="T9" s="26">
        <f t="shared" ref="T9:AH39" si="4">LK_Z1($S9,T$7,$F$2,$G$3)</f>
        <v>0</v>
      </c>
      <c r="U9" s="26">
        <f t="shared" si="1"/>
        <v>0</v>
      </c>
      <c r="V9" s="26">
        <f t="shared" si="1"/>
        <v>0</v>
      </c>
      <c r="W9" s="26">
        <f t="shared" si="1"/>
        <v>0</v>
      </c>
      <c r="X9" s="26">
        <f t="shared" si="1"/>
        <v>0</v>
      </c>
      <c r="Y9" s="26">
        <f t="shared" si="1"/>
        <v>0</v>
      </c>
      <c r="Z9" s="26">
        <f t="shared" si="1"/>
        <v>0</v>
      </c>
      <c r="AA9" s="26">
        <f t="shared" si="1"/>
        <v>0</v>
      </c>
      <c r="AB9" s="26">
        <f t="shared" si="1"/>
        <v>0</v>
      </c>
      <c r="AC9" s="26">
        <f t="shared" si="1"/>
        <v>0</v>
      </c>
      <c r="AD9" s="26">
        <f t="shared" si="1"/>
        <v>0</v>
      </c>
      <c r="AE9" s="26">
        <f t="shared" si="1"/>
        <v>0</v>
      </c>
      <c r="AF9" s="26">
        <f t="shared" si="1"/>
        <v>0</v>
      </c>
      <c r="AG9" s="26">
        <f t="shared" si="1"/>
        <v>0</v>
      </c>
      <c r="AH9" s="26">
        <f t="shared" si="1"/>
        <v>0</v>
      </c>
    </row>
    <row r="10" spans="1:34" x14ac:dyDescent="0.25">
      <c r="B10">
        <v>0.4</v>
      </c>
      <c r="C10" s="26">
        <f t="shared" si="2"/>
        <v>0</v>
      </c>
      <c r="D10" s="26">
        <f t="shared" si="2"/>
        <v>0</v>
      </c>
      <c r="E10" s="26">
        <f t="shared" si="2"/>
        <v>0</v>
      </c>
      <c r="F10" s="26">
        <f t="shared" si="2"/>
        <v>0</v>
      </c>
      <c r="G10" s="26">
        <f t="shared" si="2"/>
        <v>0</v>
      </c>
      <c r="H10" s="26">
        <f t="shared" si="2"/>
        <v>0</v>
      </c>
      <c r="I10" s="26">
        <f t="shared" si="2"/>
        <v>0</v>
      </c>
      <c r="J10" s="26">
        <f t="shared" si="2"/>
        <v>0</v>
      </c>
      <c r="K10" s="26">
        <f t="shared" si="2"/>
        <v>0</v>
      </c>
      <c r="L10" s="26">
        <f t="shared" si="2"/>
        <v>0</v>
      </c>
      <c r="M10" s="26">
        <f t="shared" si="2"/>
        <v>0</v>
      </c>
      <c r="N10" s="26">
        <f t="shared" si="2"/>
        <v>0</v>
      </c>
      <c r="O10" s="26">
        <f t="shared" si="2"/>
        <v>0</v>
      </c>
      <c r="P10" s="26">
        <f t="shared" si="2"/>
        <v>0</v>
      </c>
      <c r="Q10" s="26">
        <f t="shared" si="3"/>
        <v>0</v>
      </c>
      <c r="S10">
        <v>0.4</v>
      </c>
      <c r="T10" s="26">
        <f t="shared" si="4"/>
        <v>0</v>
      </c>
      <c r="U10" s="26">
        <f t="shared" si="1"/>
        <v>0</v>
      </c>
      <c r="V10" s="26">
        <f t="shared" si="1"/>
        <v>0</v>
      </c>
      <c r="W10" s="26">
        <f t="shared" si="1"/>
        <v>0</v>
      </c>
      <c r="X10" s="26">
        <f t="shared" si="1"/>
        <v>0</v>
      </c>
      <c r="Y10" s="26">
        <f t="shared" si="1"/>
        <v>0</v>
      </c>
      <c r="Z10" s="26">
        <f t="shared" si="1"/>
        <v>0</v>
      </c>
      <c r="AA10" s="26">
        <f t="shared" si="1"/>
        <v>0</v>
      </c>
      <c r="AB10" s="26">
        <f t="shared" si="1"/>
        <v>0</v>
      </c>
      <c r="AC10" s="26">
        <f t="shared" si="1"/>
        <v>0</v>
      </c>
      <c r="AD10" s="26">
        <f t="shared" si="1"/>
        <v>0</v>
      </c>
      <c r="AE10" s="26">
        <f t="shared" si="1"/>
        <v>0</v>
      </c>
      <c r="AF10" s="26">
        <f t="shared" si="1"/>
        <v>0</v>
      </c>
      <c r="AG10" s="26">
        <f t="shared" si="1"/>
        <v>0</v>
      </c>
      <c r="AH10" s="26">
        <f t="shared" si="1"/>
        <v>0</v>
      </c>
    </row>
    <row r="11" spans="1:34" x14ac:dyDescent="0.25">
      <c r="B11">
        <v>0.45</v>
      </c>
      <c r="C11" s="26">
        <f t="shared" si="2"/>
        <v>0</v>
      </c>
      <c r="D11" s="26">
        <f t="shared" si="2"/>
        <v>0</v>
      </c>
      <c r="E11" s="26">
        <f t="shared" si="2"/>
        <v>0</v>
      </c>
      <c r="F11" s="26">
        <f t="shared" si="2"/>
        <v>0</v>
      </c>
      <c r="G11" s="26">
        <f t="shared" si="2"/>
        <v>0</v>
      </c>
      <c r="H11" s="26">
        <f t="shared" si="2"/>
        <v>0</v>
      </c>
      <c r="I11" s="26">
        <f t="shared" si="2"/>
        <v>0</v>
      </c>
      <c r="J11" s="26">
        <f t="shared" si="2"/>
        <v>0</v>
      </c>
      <c r="K11" s="26">
        <f t="shared" si="2"/>
        <v>0</v>
      </c>
      <c r="L11" s="26">
        <f t="shared" si="2"/>
        <v>0</v>
      </c>
      <c r="M11" s="26">
        <f t="shared" si="2"/>
        <v>0</v>
      </c>
      <c r="N11" s="26">
        <f t="shared" si="2"/>
        <v>0</v>
      </c>
      <c r="O11" s="26">
        <f t="shared" si="2"/>
        <v>0</v>
      </c>
      <c r="P11" s="26">
        <f t="shared" si="2"/>
        <v>0</v>
      </c>
      <c r="Q11" s="26">
        <f t="shared" si="3"/>
        <v>0</v>
      </c>
      <c r="S11">
        <v>0.45</v>
      </c>
      <c r="T11" s="26">
        <f t="shared" si="4"/>
        <v>0</v>
      </c>
      <c r="U11" s="26">
        <f t="shared" si="1"/>
        <v>0</v>
      </c>
      <c r="V11" s="26">
        <f t="shared" si="1"/>
        <v>0</v>
      </c>
      <c r="W11" s="26">
        <f t="shared" si="1"/>
        <v>0</v>
      </c>
      <c r="X11" s="26">
        <f t="shared" si="1"/>
        <v>0</v>
      </c>
      <c r="Y11" s="26">
        <f t="shared" si="1"/>
        <v>0</v>
      </c>
      <c r="Z11" s="26">
        <f t="shared" si="1"/>
        <v>0</v>
      </c>
      <c r="AA11" s="26">
        <f t="shared" si="1"/>
        <v>0</v>
      </c>
      <c r="AB11" s="26">
        <f t="shared" si="1"/>
        <v>0</v>
      </c>
      <c r="AC11" s="26">
        <f t="shared" si="1"/>
        <v>0</v>
      </c>
      <c r="AD11" s="26">
        <f t="shared" si="1"/>
        <v>0</v>
      </c>
      <c r="AE11" s="26">
        <f t="shared" si="1"/>
        <v>0</v>
      </c>
      <c r="AF11" s="26">
        <f t="shared" si="1"/>
        <v>0</v>
      </c>
      <c r="AG11" s="26">
        <f t="shared" si="1"/>
        <v>0</v>
      </c>
      <c r="AH11" s="26">
        <f t="shared" si="1"/>
        <v>0</v>
      </c>
    </row>
    <row r="12" spans="1:34" x14ac:dyDescent="0.25">
      <c r="B12">
        <v>0.5</v>
      </c>
      <c r="C12" s="26">
        <f t="shared" si="2"/>
        <v>0</v>
      </c>
      <c r="D12" s="26">
        <f t="shared" si="2"/>
        <v>0</v>
      </c>
      <c r="E12" s="26">
        <f t="shared" si="2"/>
        <v>0</v>
      </c>
      <c r="F12" s="26">
        <f t="shared" si="2"/>
        <v>0</v>
      </c>
      <c r="G12" s="26">
        <f t="shared" si="2"/>
        <v>0</v>
      </c>
      <c r="H12" s="26">
        <f t="shared" si="2"/>
        <v>0</v>
      </c>
      <c r="I12" s="26">
        <f t="shared" si="2"/>
        <v>0</v>
      </c>
      <c r="J12" s="26">
        <f t="shared" si="2"/>
        <v>0</v>
      </c>
      <c r="K12" s="26">
        <f t="shared" si="2"/>
        <v>0</v>
      </c>
      <c r="L12" s="26">
        <f t="shared" si="2"/>
        <v>0</v>
      </c>
      <c r="M12" s="26">
        <f t="shared" si="2"/>
        <v>0</v>
      </c>
      <c r="N12" s="26">
        <f t="shared" si="2"/>
        <v>0</v>
      </c>
      <c r="O12" s="26">
        <f t="shared" si="2"/>
        <v>0</v>
      </c>
      <c r="P12" s="26">
        <f t="shared" si="2"/>
        <v>0</v>
      </c>
      <c r="Q12" s="26">
        <f t="shared" si="3"/>
        <v>0</v>
      </c>
      <c r="S12">
        <v>0.5</v>
      </c>
      <c r="T12" s="26">
        <f t="shared" si="4"/>
        <v>0</v>
      </c>
      <c r="U12" s="26">
        <f t="shared" si="1"/>
        <v>0</v>
      </c>
      <c r="V12" s="26">
        <f t="shared" si="1"/>
        <v>0</v>
      </c>
      <c r="W12" s="26">
        <f t="shared" si="1"/>
        <v>0</v>
      </c>
      <c r="X12" s="26">
        <f t="shared" si="1"/>
        <v>0</v>
      </c>
      <c r="Y12" s="26">
        <f t="shared" si="1"/>
        <v>0</v>
      </c>
      <c r="Z12" s="26">
        <f t="shared" si="1"/>
        <v>0</v>
      </c>
      <c r="AA12" s="26">
        <f t="shared" si="1"/>
        <v>0</v>
      </c>
      <c r="AB12" s="26">
        <f t="shared" si="1"/>
        <v>0</v>
      </c>
      <c r="AC12" s="26">
        <f t="shared" si="1"/>
        <v>0</v>
      </c>
      <c r="AD12" s="26">
        <f t="shared" si="1"/>
        <v>0</v>
      </c>
      <c r="AE12" s="26">
        <f t="shared" si="1"/>
        <v>0</v>
      </c>
      <c r="AF12" s="26">
        <f t="shared" si="1"/>
        <v>0</v>
      </c>
      <c r="AG12" s="26">
        <f t="shared" si="1"/>
        <v>0</v>
      </c>
      <c r="AH12" s="26">
        <f t="shared" si="1"/>
        <v>0</v>
      </c>
    </row>
    <row r="13" spans="1:34" x14ac:dyDescent="0.25">
      <c r="B13">
        <v>0.55000000000000004</v>
      </c>
      <c r="C13" s="26">
        <f t="shared" si="2"/>
        <v>0</v>
      </c>
      <c r="D13" s="26">
        <f t="shared" si="2"/>
        <v>0</v>
      </c>
      <c r="E13" s="26">
        <f t="shared" si="2"/>
        <v>0</v>
      </c>
      <c r="F13" s="26">
        <f t="shared" si="2"/>
        <v>0</v>
      </c>
      <c r="G13" s="26">
        <f t="shared" si="2"/>
        <v>0</v>
      </c>
      <c r="H13" s="26">
        <f t="shared" si="2"/>
        <v>0</v>
      </c>
      <c r="I13" s="26">
        <f t="shared" si="2"/>
        <v>0</v>
      </c>
      <c r="J13" s="26">
        <f t="shared" si="2"/>
        <v>0</v>
      </c>
      <c r="K13" s="26">
        <f t="shared" si="2"/>
        <v>0</v>
      </c>
      <c r="L13" s="26">
        <f t="shared" si="2"/>
        <v>0</v>
      </c>
      <c r="M13" s="26">
        <f t="shared" si="2"/>
        <v>0</v>
      </c>
      <c r="N13" s="26">
        <f t="shared" si="2"/>
        <v>0</v>
      </c>
      <c r="O13" s="26">
        <f t="shared" si="2"/>
        <v>0</v>
      </c>
      <c r="P13" s="26">
        <f t="shared" si="2"/>
        <v>0</v>
      </c>
      <c r="Q13" s="26">
        <f t="shared" si="3"/>
        <v>0</v>
      </c>
      <c r="S13">
        <v>0.55000000000000004</v>
      </c>
      <c r="T13" s="26">
        <f t="shared" si="4"/>
        <v>0</v>
      </c>
      <c r="U13" s="26">
        <f t="shared" si="1"/>
        <v>0</v>
      </c>
      <c r="V13" s="26">
        <f t="shared" si="1"/>
        <v>0</v>
      </c>
      <c r="W13" s="26">
        <f t="shared" si="1"/>
        <v>0</v>
      </c>
      <c r="X13" s="26">
        <f t="shared" si="1"/>
        <v>0</v>
      </c>
      <c r="Y13" s="26">
        <f t="shared" si="1"/>
        <v>0</v>
      </c>
      <c r="Z13" s="26">
        <f t="shared" si="1"/>
        <v>0</v>
      </c>
      <c r="AA13" s="26">
        <f t="shared" si="1"/>
        <v>0</v>
      </c>
      <c r="AB13" s="26">
        <f t="shared" si="1"/>
        <v>0</v>
      </c>
      <c r="AC13" s="26">
        <f t="shared" si="1"/>
        <v>0</v>
      </c>
      <c r="AD13" s="26">
        <f t="shared" si="1"/>
        <v>0</v>
      </c>
      <c r="AE13" s="26">
        <f t="shared" si="1"/>
        <v>0</v>
      </c>
      <c r="AF13" s="26">
        <f t="shared" si="1"/>
        <v>0</v>
      </c>
      <c r="AG13" s="26">
        <f t="shared" si="1"/>
        <v>0</v>
      </c>
      <c r="AH13" s="26">
        <f t="shared" si="1"/>
        <v>0</v>
      </c>
    </row>
    <row r="14" spans="1:34" x14ac:dyDescent="0.25">
      <c r="B14">
        <v>0.6</v>
      </c>
      <c r="C14" s="26">
        <f t="shared" si="2"/>
        <v>0</v>
      </c>
      <c r="D14" s="26">
        <f t="shared" si="2"/>
        <v>0</v>
      </c>
      <c r="E14" s="26">
        <f t="shared" si="2"/>
        <v>0</v>
      </c>
      <c r="F14" s="26">
        <f t="shared" si="2"/>
        <v>0</v>
      </c>
      <c r="G14" s="26">
        <f t="shared" si="2"/>
        <v>0</v>
      </c>
      <c r="H14" s="26">
        <f t="shared" si="2"/>
        <v>0</v>
      </c>
      <c r="I14" s="26">
        <f t="shared" si="2"/>
        <v>0</v>
      </c>
      <c r="J14" s="26">
        <f t="shared" si="2"/>
        <v>0</v>
      </c>
      <c r="K14" s="26">
        <f t="shared" si="2"/>
        <v>0</v>
      </c>
      <c r="L14" s="26">
        <f t="shared" si="2"/>
        <v>0</v>
      </c>
      <c r="M14" s="26">
        <f t="shared" si="2"/>
        <v>0</v>
      </c>
      <c r="N14" s="26">
        <f t="shared" si="2"/>
        <v>0</v>
      </c>
      <c r="O14" s="26">
        <f t="shared" si="2"/>
        <v>0</v>
      </c>
      <c r="P14" s="26">
        <f t="shared" si="2"/>
        <v>0</v>
      </c>
      <c r="Q14" s="26">
        <f t="shared" si="3"/>
        <v>0</v>
      </c>
      <c r="S14">
        <v>0.6</v>
      </c>
      <c r="T14" s="26">
        <f t="shared" si="4"/>
        <v>0</v>
      </c>
      <c r="U14" s="26">
        <f t="shared" si="1"/>
        <v>0</v>
      </c>
      <c r="V14" s="26">
        <f t="shared" si="1"/>
        <v>0</v>
      </c>
      <c r="W14" s="26">
        <f t="shared" si="1"/>
        <v>0</v>
      </c>
      <c r="X14" s="26">
        <f t="shared" si="1"/>
        <v>0</v>
      </c>
      <c r="Y14" s="26">
        <f t="shared" si="1"/>
        <v>0</v>
      </c>
      <c r="Z14" s="26">
        <f t="shared" si="1"/>
        <v>0</v>
      </c>
      <c r="AA14" s="26">
        <f t="shared" si="1"/>
        <v>0</v>
      </c>
      <c r="AB14" s="26">
        <f t="shared" si="1"/>
        <v>0</v>
      </c>
      <c r="AC14" s="26">
        <f t="shared" si="1"/>
        <v>0</v>
      </c>
      <c r="AD14" s="26">
        <f t="shared" si="1"/>
        <v>0</v>
      </c>
      <c r="AE14" s="26">
        <f t="shared" si="1"/>
        <v>0</v>
      </c>
      <c r="AF14" s="26">
        <f t="shared" si="1"/>
        <v>0</v>
      </c>
      <c r="AG14" s="26">
        <f t="shared" si="1"/>
        <v>0</v>
      </c>
      <c r="AH14" s="26">
        <f t="shared" si="1"/>
        <v>0</v>
      </c>
    </row>
    <row r="15" spans="1:34" x14ac:dyDescent="0.25">
      <c r="B15">
        <v>0.65</v>
      </c>
      <c r="C15" s="26">
        <f t="shared" si="2"/>
        <v>0</v>
      </c>
      <c r="D15" s="26">
        <f t="shared" si="2"/>
        <v>0</v>
      </c>
      <c r="E15" s="26">
        <f t="shared" si="2"/>
        <v>0</v>
      </c>
      <c r="F15" s="26">
        <f t="shared" si="2"/>
        <v>0</v>
      </c>
      <c r="G15" s="26">
        <f t="shared" si="2"/>
        <v>0</v>
      </c>
      <c r="H15" s="26">
        <f t="shared" si="2"/>
        <v>0</v>
      </c>
      <c r="I15" s="26">
        <f t="shared" si="2"/>
        <v>0</v>
      </c>
      <c r="J15" s="26">
        <f t="shared" si="2"/>
        <v>0</v>
      </c>
      <c r="K15" s="26">
        <f t="shared" si="2"/>
        <v>0</v>
      </c>
      <c r="L15" s="26">
        <f t="shared" si="2"/>
        <v>0</v>
      </c>
      <c r="M15" s="26">
        <f t="shared" si="2"/>
        <v>0</v>
      </c>
      <c r="N15" s="26">
        <f t="shared" si="2"/>
        <v>0</v>
      </c>
      <c r="O15" s="26">
        <f t="shared" si="2"/>
        <v>0</v>
      </c>
      <c r="P15" s="26">
        <f t="shared" si="2"/>
        <v>0</v>
      </c>
      <c r="Q15" s="26">
        <f t="shared" si="3"/>
        <v>0</v>
      </c>
      <c r="S15">
        <v>0.65</v>
      </c>
      <c r="T15" s="26">
        <f t="shared" si="4"/>
        <v>0</v>
      </c>
      <c r="U15" s="26">
        <f t="shared" si="1"/>
        <v>0</v>
      </c>
      <c r="V15" s="26">
        <f t="shared" si="1"/>
        <v>0</v>
      </c>
      <c r="W15" s="26">
        <f t="shared" si="1"/>
        <v>0</v>
      </c>
      <c r="X15" s="26">
        <f t="shared" si="1"/>
        <v>0</v>
      </c>
      <c r="Y15" s="26">
        <f t="shared" si="1"/>
        <v>0</v>
      </c>
      <c r="Z15" s="26">
        <f t="shared" si="1"/>
        <v>0</v>
      </c>
      <c r="AA15" s="26">
        <f t="shared" si="1"/>
        <v>0</v>
      </c>
      <c r="AB15" s="26">
        <f t="shared" si="1"/>
        <v>0</v>
      </c>
      <c r="AC15" s="26">
        <f t="shared" si="1"/>
        <v>0</v>
      </c>
      <c r="AD15" s="26">
        <f t="shared" si="1"/>
        <v>0</v>
      </c>
      <c r="AE15" s="26">
        <f t="shared" si="1"/>
        <v>0</v>
      </c>
      <c r="AF15" s="26">
        <f t="shared" si="1"/>
        <v>0</v>
      </c>
      <c r="AG15" s="26">
        <f t="shared" si="1"/>
        <v>0</v>
      </c>
      <c r="AH15" s="26">
        <f t="shared" si="1"/>
        <v>0</v>
      </c>
    </row>
    <row r="16" spans="1:34" x14ac:dyDescent="0.25">
      <c r="B16">
        <v>0.7</v>
      </c>
      <c r="C16" s="26">
        <f t="shared" si="2"/>
        <v>0</v>
      </c>
      <c r="D16" s="26">
        <f t="shared" si="2"/>
        <v>0</v>
      </c>
      <c r="E16" s="26">
        <f t="shared" si="2"/>
        <v>0</v>
      </c>
      <c r="F16" s="26">
        <f t="shared" si="2"/>
        <v>0</v>
      </c>
      <c r="G16" s="26">
        <f t="shared" si="2"/>
        <v>0</v>
      </c>
      <c r="H16" s="26">
        <f t="shared" si="2"/>
        <v>0</v>
      </c>
      <c r="I16" s="26">
        <f t="shared" si="2"/>
        <v>0</v>
      </c>
      <c r="J16" s="26">
        <f t="shared" si="2"/>
        <v>0</v>
      </c>
      <c r="K16" s="26">
        <f t="shared" si="2"/>
        <v>0</v>
      </c>
      <c r="L16" s="26">
        <f t="shared" si="2"/>
        <v>0</v>
      </c>
      <c r="M16" s="26">
        <f t="shared" si="2"/>
        <v>0</v>
      </c>
      <c r="N16" s="26">
        <f t="shared" si="2"/>
        <v>0</v>
      </c>
      <c r="O16" s="26">
        <f t="shared" si="2"/>
        <v>0</v>
      </c>
      <c r="P16" s="26">
        <f t="shared" si="2"/>
        <v>0</v>
      </c>
      <c r="Q16" s="26">
        <f t="shared" si="3"/>
        <v>0</v>
      </c>
      <c r="S16">
        <v>0.7</v>
      </c>
      <c r="T16" s="26">
        <f t="shared" si="4"/>
        <v>0</v>
      </c>
      <c r="U16" s="26">
        <f t="shared" si="1"/>
        <v>0</v>
      </c>
      <c r="V16" s="26">
        <f t="shared" si="1"/>
        <v>0</v>
      </c>
      <c r="W16" s="26">
        <f t="shared" si="1"/>
        <v>0</v>
      </c>
      <c r="X16" s="26">
        <f t="shared" si="1"/>
        <v>0</v>
      </c>
      <c r="Y16" s="26">
        <f t="shared" si="1"/>
        <v>0</v>
      </c>
      <c r="Z16" s="26">
        <f t="shared" si="1"/>
        <v>0</v>
      </c>
      <c r="AA16" s="26">
        <f t="shared" si="1"/>
        <v>0</v>
      </c>
      <c r="AB16" s="26">
        <f t="shared" si="1"/>
        <v>0</v>
      </c>
      <c r="AC16" s="26">
        <f t="shared" si="1"/>
        <v>0</v>
      </c>
      <c r="AD16" s="26">
        <f t="shared" si="1"/>
        <v>0</v>
      </c>
      <c r="AE16" s="26">
        <f t="shared" si="1"/>
        <v>0</v>
      </c>
      <c r="AF16" s="26">
        <f t="shared" si="1"/>
        <v>0</v>
      </c>
      <c r="AG16" s="26">
        <f t="shared" si="1"/>
        <v>0</v>
      </c>
      <c r="AH16" s="26">
        <f t="shared" si="1"/>
        <v>0</v>
      </c>
    </row>
    <row r="17" spans="2:34" x14ac:dyDescent="0.25">
      <c r="B17">
        <v>0.75</v>
      </c>
      <c r="C17" s="26">
        <f t="shared" si="2"/>
        <v>0</v>
      </c>
      <c r="D17" s="26">
        <f t="shared" si="2"/>
        <v>0</v>
      </c>
      <c r="E17" s="26">
        <f t="shared" si="2"/>
        <v>0</v>
      </c>
      <c r="F17" s="26">
        <f t="shared" si="2"/>
        <v>0</v>
      </c>
      <c r="G17" s="26">
        <f t="shared" si="2"/>
        <v>0</v>
      </c>
      <c r="H17" s="26">
        <f t="shared" si="2"/>
        <v>0</v>
      </c>
      <c r="I17" s="26">
        <f t="shared" si="2"/>
        <v>0</v>
      </c>
      <c r="J17" s="26">
        <f t="shared" si="2"/>
        <v>0</v>
      </c>
      <c r="K17" s="26">
        <f t="shared" si="2"/>
        <v>0</v>
      </c>
      <c r="L17" s="26">
        <f t="shared" si="2"/>
        <v>0</v>
      </c>
      <c r="M17" s="26">
        <f t="shared" si="2"/>
        <v>0</v>
      </c>
      <c r="N17" s="26">
        <f t="shared" si="2"/>
        <v>0</v>
      </c>
      <c r="O17" s="26">
        <f t="shared" si="2"/>
        <v>0</v>
      </c>
      <c r="P17" s="26">
        <f t="shared" si="2"/>
        <v>0</v>
      </c>
      <c r="Q17" s="26">
        <f t="shared" si="3"/>
        <v>0</v>
      </c>
      <c r="S17">
        <v>0.75</v>
      </c>
      <c r="T17" s="26">
        <f t="shared" si="4"/>
        <v>0</v>
      </c>
      <c r="U17" s="26">
        <f t="shared" si="1"/>
        <v>0</v>
      </c>
      <c r="V17" s="26">
        <f t="shared" si="1"/>
        <v>0</v>
      </c>
      <c r="W17" s="26">
        <f t="shared" si="1"/>
        <v>0</v>
      </c>
      <c r="X17" s="26">
        <f t="shared" si="1"/>
        <v>0</v>
      </c>
      <c r="Y17" s="26">
        <f t="shared" si="1"/>
        <v>0</v>
      </c>
      <c r="Z17" s="26">
        <f t="shared" si="1"/>
        <v>0</v>
      </c>
      <c r="AA17" s="26">
        <f t="shared" si="1"/>
        <v>0</v>
      </c>
      <c r="AB17" s="26">
        <f t="shared" si="1"/>
        <v>0</v>
      </c>
      <c r="AC17" s="26">
        <f t="shared" si="1"/>
        <v>0</v>
      </c>
      <c r="AD17" s="26">
        <f t="shared" si="1"/>
        <v>0</v>
      </c>
      <c r="AE17" s="26">
        <f t="shared" si="1"/>
        <v>0</v>
      </c>
      <c r="AF17" s="26">
        <f t="shared" si="1"/>
        <v>0</v>
      </c>
      <c r="AG17" s="26">
        <f t="shared" si="1"/>
        <v>0</v>
      </c>
      <c r="AH17" s="26">
        <f t="shared" si="1"/>
        <v>0</v>
      </c>
    </row>
    <row r="18" spans="2:34" x14ac:dyDescent="0.25">
      <c r="B18">
        <v>0.8</v>
      </c>
      <c r="C18" s="26">
        <f t="shared" si="2"/>
        <v>0</v>
      </c>
      <c r="D18" s="26">
        <f t="shared" si="2"/>
        <v>0</v>
      </c>
      <c r="E18" s="26">
        <f t="shared" si="2"/>
        <v>0</v>
      </c>
      <c r="F18" s="26">
        <f t="shared" si="2"/>
        <v>0</v>
      </c>
      <c r="G18" s="26">
        <f t="shared" si="2"/>
        <v>0</v>
      </c>
      <c r="H18" s="26">
        <f t="shared" si="2"/>
        <v>0</v>
      </c>
      <c r="I18" s="26">
        <f t="shared" si="2"/>
        <v>0</v>
      </c>
      <c r="J18" s="26">
        <f t="shared" si="2"/>
        <v>0</v>
      </c>
      <c r="K18" s="26">
        <f t="shared" si="2"/>
        <v>0</v>
      </c>
      <c r="L18" s="26">
        <f t="shared" si="2"/>
        <v>0</v>
      </c>
      <c r="M18" s="26">
        <f t="shared" si="2"/>
        <v>0</v>
      </c>
      <c r="N18" s="26">
        <f t="shared" si="2"/>
        <v>0</v>
      </c>
      <c r="O18" s="26">
        <f t="shared" si="2"/>
        <v>0</v>
      </c>
      <c r="P18" s="26">
        <f t="shared" si="2"/>
        <v>0</v>
      </c>
      <c r="Q18" s="26">
        <f t="shared" si="3"/>
        <v>0</v>
      </c>
      <c r="S18">
        <v>0.8</v>
      </c>
      <c r="T18" s="26">
        <f t="shared" si="4"/>
        <v>0</v>
      </c>
      <c r="U18" s="26">
        <f t="shared" si="1"/>
        <v>0</v>
      </c>
      <c r="V18" s="26">
        <f t="shared" si="1"/>
        <v>0</v>
      </c>
      <c r="W18" s="26">
        <f t="shared" si="1"/>
        <v>0</v>
      </c>
      <c r="X18" s="26">
        <f t="shared" si="1"/>
        <v>0</v>
      </c>
      <c r="Y18" s="26">
        <f t="shared" si="1"/>
        <v>0</v>
      </c>
      <c r="Z18" s="26">
        <f t="shared" si="1"/>
        <v>0</v>
      </c>
      <c r="AA18" s="26">
        <f t="shared" si="1"/>
        <v>0</v>
      </c>
      <c r="AB18" s="26">
        <f t="shared" si="1"/>
        <v>0</v>
      </c>
      <c r="AC18" s="26">
        <f t="shared" si="1"/>
        <v>0</v>
      </c>
      <c r="AD18" s="26">
        <f t="shared" si="1"/>
        <v>0</v>
      </c>
      <c r="AE18" s="26">
        <f t="shared" si="1"/>
        <v>0</v>
      </c>
      <c r="AF18" s="26">
        <f t="shared" si="1"/>
        <v>0</v>
      </c>
      <c r="AG18" s="26">
        <f t="shared" si="1"/>
        <v>0</v>
      </c>
      <c r="AH18" s="26">
        <f t="shared" si="1"/>
        <v>0</v>
      </c>
    </row>
    <row r="19" spans="2:34" x14ac:dyDescent="0.25">
      <c r="B19">
        <v>0.85</v>
      </c>
      <c r="C19" s="26">
        <f t="shared" si="2"/>
        <v>0</v>
      </c>
      <c r="D19" s="26">
        <f t="shared" si="2"/>
        <v>0</v>
      </c>
      <c r="E19" s="26">
        <f t="shared" si="2"/>
        <v>0</v>
      </c>
      <c r="F19" s="26">
        <f t="shared" si="2"/>
        <v>0</v>
      </c>
      <c r="G19" s="26">
        <f t="shared" si="2"/>
        <v>0</v>
      </c>
      <c r="H19" s="26">
        <f t="shared" si="2"/>
        <v>0</v>
      </c>
      <c r="I19" s="26">
        <f t="shared" si="2"/>
        <v>0</v>
      </c>
      <c r="J19" s="26">
        <f t="shared" si="2"/>
        <v>0</v>
      </c>
      <c r="K19" s="26">
        <f t="shared" si="2"/>
        <v>0</v>
      </c>
      <c r="L19" s="26">
        <f t="shared" si="2"/>
        <v>0</v>
      </c>
      <c r="M19" s="26">
        <f t="shared" si="2"/>
        <v>0</v>
      </c>
      <c r="N19" s="26">
        <f t="shared" si="2"/>
        <v>0</v>
      </c>
      <c r="O19" s="26">
        <f t="shared" si="2"/>
        <v>0</v>
      </c>
      <c r="P19" s="26">
        <f t="shared" si="2"/>
        <v>0</v>
      </c>
      <c r="Q19" s="26">
        <f t="shared" si="3"/>
        <v>0</v>
      </c>
      <c r="S19">
        <v>0.85</v>
      </c>
      <c r="T19" s="26">
        <f t="shared" si="4"/>
        <v>0</v>
      </c>
      <c r="U19" s="26">
        <f t="shared" si="1"/>
        <v>0</v>
      </c>
      <c r="V19" s="26">
        <f t="shared" si="1"/>
        <v>0</v>
      </c>
      <c r="W19" s="26">
        <f t="shared" si="1"/>
        <v>0</v>
      </c>
      <c r="X19" s="26">
        <f t="shared" si="1"/>
        <v>0</v>
      </c>
      <c r="Y19" s="26">
        <f t="shared" si="1"/>
        <v>0</v>
      </c>
      <c r="Z19" s="26">
        <f t="shared" si="1"/>
        <v>0</v>
      </c>
      <c r="AA19" s="26">
        <f t="shared" si="1"/>
        <v>0</v>
      </c>
      <c r="AB19" s="26">
        <f t="shared" si="1"/>
        <v>0</v>
      </c>
      <c r="AC19" s="26">
        <f t="shared" si="1"/>
        <v>0</v>
      </c>
      <c r="AD19" s="26">
        <f t="shared" si="1"/>
        <v>0</v>
      </c>
      <c r="AE19" s="26">
        <f t="shared" si="1"/>
        <v>0</v>
      </c>
      <c r="AF19" s="26">
        <f t="shared" si="1"/>
        <v>0</v>
      </c>
      <c r="AG19" s="26">
        <f t="shared" si="1"/>
        <v>0</v>
      </c>
      <c r="AH19" s="26">
        <f t="shared" si="1"/>
        <v>0</v>
      </c>
    </row>
    <row r="20" spans="2:34" x14ac:dyDescent="0.25">
      <c r="B20">
        <v>0.9</v>
      </c>
      <c r="C20" s="26">
        <f t="shared" si="2"/>
        <v>0</v>
      </c>
      <c r="D20" s="26">
        <f t="shared" si="2"/>
        <v>0</v>
      </c>
      <c r="E20" s="26">
        <f t="shared" si="2"/>
        <v>0</v>
      </c>
      <c r="F20" s="26">
        <f t="shared" si="2"/>
        <v>0</v>
      </c>
      <c r="G20" s="26">
        <f t="shared" si="2"/>
        <v>0</v>
      </c>
      <c r="H20" s="26">
        <f t="shared" si="2"/>
        <v>0</v>
      </c>
      <c r="I20" s="26">
        <f t="shared" si="2"/>
        <v>0</v>
      </c>
      <c r="J20" s="26">
        <f t="shared" si="2"/>
        <v>0</v>
      </c>
      <c r="K20" s="26">
        <f t="shared" si="2"/>
        <v>0</v>
      </c>
      <c r="L20" s="26">
        <f t="shared" si="2"/>
        <v>0</v>
      </c>
      <c r="M20" s="26">
        <f t="shared" si="2"/>
        <v>0</v>
      </c>
      <c r="N20" s="26">
        <f t="shared" si="2"/>
        <v>0</v>
      </c>
      <c r="O20" s="26">
        <f t="shared" si="2"/>
        <v>0</v>
      </c>
      <c r="P20" s="26">
        <f t="shared" si="2"/>
        <v>0</v>
      </c>
      <c r="Q20" s="26">
        <f t="shared" si="3"/>
        <v>0</v>
      </c>
      <c r="S20">
        <v>0.9</v>
      </c>
      <c r="T20" s="26">
        <f t="shared" si="4"/>
        <v>0</v>
      </c>
      <c r="U20" s="26">
        <f t="shared" si="1"/>
        <v>0</v>
      </c>
      <c r="V20" s="26">
        <f t="shared" si="1"/>
        <v>0</v>
      </c>
      <c r="W20" s="26">
        <f t="shared" si="1"/>
        <v>0</v>
      </c>
      <c r="X20" s="26">
        <f t="shared" si="1"/>
        <v>0</v>
      </c>
      <c r="Y20" s="26">
        <f t="shared" si="1"/>
        <v>0</v>
      </c>
      <c r="Z20" s="26">
        <f t="shared" si="1"/>
        <v>0</v>
      </c>
      <c r="AA20" s="26">
        <f t="shared" si="1"/>
        <v>0</v>
      </c>
      <c r="AB20" s="26">
        <f t="shared" si="1"/>
        <v>0</v>
      </c>
      <c r="AC20" s="26">
        <f t="shared" si="1"/>
        <v>0</v>
      </c>
      <c r="AD20" s="26">
        <f t="shared" si="1"/>
        <v>0</v>
      </c>
      <c r="AE20" s="26">
        <f t="shared" si="1"/>
        <v>0</v>
      </c>
      <c r="AF20" s="26">
        <f t="shared" si="1"/>
        <v>0</v>
      </c>
      <c r="AG20" s="26">
        <f t="shared" si="1"/>
        <v>0</v>
      </c>
      <c r="AH20" s="26">
        <f t="shared" si="1"/>
        <v>0</v>
      </c>
    </row>
    <row r="21" spans="2:34" x14ac:dyDescent="0.25">
      <c r="B21">
        <v>0.93</v>
      </c>
      <c r="C21" s="26">
        <f t="shared" si="2"/>
        <v>0</v>
      </c>
      <c r="D21" s="26">
        <f t="shared" si="2"/>
        <v>0</v>
      </c>
      <c r="E21" s="26">
        <f t="shared" si="2"/>
        <v>0</v>
      </c>
      <c r="F21" s="26">
        <f t="shared" si="2"/>
        <v>0</v>
      </c>
      <c r="G21" s="26">
        <f t="shared" si="2"/>
        <v>0</v>
      </c>
      <c r="H21" s="26">
        <f t="shared" si="2"/>
        <v>0</v>
      </c>
      <c r="I21" s="26">
        <f t="shared" si="2"/>
        <v>0</v>
      </c>
      <c r="J21" s="26">
        <f t="shared" si="2"/>
        <v>0</v>
      </c>
      <c r="K21" s="26">
        <f t="shared" si="2"/>
        <v>0</v>
      </c>
      <c r="L21" s="26">
        <f t="shared" si="2"/>
        <v>0</v>
      </c>
      <c r="M21" s="26">
        <f t="shared" si="2"/>
        <v>0</v>
      </c>
      <c r="N21" s="26">
        <f t="shared" si="2"/>
        <v>0</v>
      </c>
      <c r="O21" s="26">
        <f t="shared" si="2"/>
        <v>0</v>
      </c>
      <c r="P21" s="26">
        <f t="shared" si="2"/>
        <v>0</v>
      </c>
      <c r="Q21" s="26">
        <f t="shared" si="3"/>
        <v>0</v>
      </c>
      <c r="S21">
        <v>0.93</v>
      </c>
      <c r="T21" s="26">
        <f t="shared" si="4"/>
        <v>0</v>
      </c>
      <c r="U21" s="26">
        <f t="shared" si="1"/>
        <v>0</v>
      </c>
      <c r="V21" s="26">
        <f t="shared" si="1"/>
        <v>0</v>
      </c>
      <c r="W21" s="26">
        <f t="shared" si="1"/>
        <v>0</v>
      </c>
      <c r="X21" s="26">
        <f t="shared" si="1"/>
        <v>0</v>
      </c>
      <c r="Y21" s="26">
        <f t="shared" si="1"/>
        <v>0</v>
      </c>
      <c r="Z21" s="26">
        <f t="shared" si="1"/>
        <v>0</v>
      </c>
      <c r="AA21" s="26">
        <f t="shared" si="1"/>
        <v>0</v>
      </c>
      <c r="AB21" s="26">
        <f t="shared" si="1"/>
        <v>0</v>
      </c>
      <c r="AC21" s="26">
        <f t="shared" si="1"/>
        <v>0</v>
      </c>
      <c r="AD21" s="26">
        <f t="shared" si="1"/>
        <v>0</v>
      </c>
      <c r="AE21" s="26">
        <f t="shared" si="1"/>
        <v>0</v>
      </c>
      <c r="AF21" s="26">
        <f t="shared" si="1"/>
        <v>0</v>
      </c>
      <c r="AG21" s="26">
        <f t="shared" si="1"/>
        <v>0</v>
      </c>
      <c r="AH21" s="26">
        <f t="shared" si="1"/>
        <v>0</v>
      </c>
    </row>
    <row r="22" spans="2:34" x14ac:dyDescent="0.25">
      <c r="B22">
        <v>0.95</v>
      </c>
      <c r="C22" s="26">
        <f t="shared" si="2"/>
        <v>0</v>
      </c>
      <c r="D22" s="26">
        <f t="shared" si="2"/>
        <v>0</v>
      </c>
      <c r="E22" s="26">
        <f t="shared" si="2"/>
        <v>0</v>
      </c>
      <c r="F22" s="26">
        <f t="shared" si="2"/>
        <v>0</v>
      </c>
      <c r="G22" s="26">
        <f t="shared" si="2"/>
        <v>0</v>
      </c>
      <c r="H22" s="26">
        <f t="shared" si="2"/>
        <v>0</v>
      </c>
      <c r="I22" s="26">
        <f t="shared" si="2"/>
        <v>0</v>
      </c>
      <c r="J22" s="26">
        <f t="shared" si="2"/>
        <v>0</v>
      </c>
      <c r="K22" s="26">
        <f t="shared" si="2"/>
        <v>0</v>
      </c>
      <c r="L22" s="26">
        <f t="shared" si="2"/>
        <v>0</v>
      </c>
      <c r="M22" s="26">
        <f t="shared" si="2"/>
        <v>0</v>
      </c>
      <c r="N22" s="26">
        <f t="shared" si="2"/>
        <v>0</v>
      </c>
      <c r="O22" s="26">
        <f t="shared" si="2"/>
        <v>0</v>
      </c>
      <c r="P22" s="26">
        <f t="shared" si="2"/>
        <v>0</v>
      </c>
      <c r="Q22" s="26">
        <f t="shared" si="3"/>
        <v>0</v>
      </c>
      <c r="S22">
        <v>0.95</v>
      </c>
      <c r="T22" s="26">
        <f t="shared" si="4"/>
        <v>0</v>
      </c>
      <c r="U22" s="26">
        <f t="shared" si="1"/>
        <v>0</v>
      </c>
      <c r="V22" s="26">
        <f t="shared" si="1"/>
        <v>0</v>
      </c>
      <c r="W22" s="26">
        <f t="shared" si="1"/>
        <v>0</v>
      </c>
      <c r="X22" s="26">
        <f t="shared" si="1"/>
        <v>0</v>
      </c>
      <c r="Y22" s="26">
        <f t="shared" si="1"/>
        <v>0</v>
      </c>
      <c r="Z22" s="26">
        <f t="shared" si="1"/>
        <v>0</v>
      </c>
      <c r="AA22" s="26">
        <f t="shared" si="1"/>
        <v>0</v>
      </c>
      <c r="AB22" s="26">
        <f t="shared" si="1"/>
        <v>0</v>
      </c>
      <c r="AC22" s="26">
        <f t="shared" si="1"/>
        <v>0</v>
      </c>
      <c r="AD22" s="26">
        <f t="shared" si="1"/>
        <v>0</v>
      </c>
      <c r="AE22" s="26">
        <f t="shared" si="1"/>
        <v>0</v>
      </c>
      <c r="AF22" s="26">
        <f t="shared" si="1"/>
        <v>0</v>
      </c>
      <c r="AG22" s="26">
        <f t="shared" si="1"/>
        <v>0</v>
      </c>
      <c r="AH22" s="26">
        <f t="shared" si="1"/>
        <v>0</v>
      </c>
    </row>
    <row r="23" spans="2:34" x14ac:dyDescent="0.25">
      <c r="B23">
        <v>0.97</v>
      </c>
      <c r="C23" s="26">
        <f t="shared" si="2"/>
        <v>0</v>
      </c>
      <c r="D23" s="26">
        <f t="shared" si="2"/>
        <v>0</v>
      </c>
      <c r="E23" s="26">
        <f t="shared" si="2"/>
        <v>0</v>
      </c>
      <c r="F23" s="26">
        <f t="shared" si="2"/>
        <v>0</v>
      </c>
      <c r="G23" s="26">
        <f t="shared" si="2"/>
        <v>0</v>
      </c>
      <c r="H23" s="26">
        <f t="shared" si="2"/>
        <v>0</v>
      </c>
      <c r="I23" s="26">
        <f t="shared" si="2"/>
        <v>0</v>
      </c>
      <c r="J23" s="26">
        <f t="shared" si="2"/>
        <v>0</v>
      </c>
      <c r="K23" s="26">
        <f t="shared" si="2"/>
        <v>0</v>
      </c>
      <c r="L23" s="26">
        <f t="shared" si="2"/>
        <v>0</v>
      </c>
      <c r="M23" s="26">
        <f t="shared" si="2"/>
        <v>0</v>
      </c>
      <c r="N23" s="26">
        <f t="shared" si="2"/>
        <v>0</v>
      </c>
      <c r="O23" s="26">
        <f t="shared" si="2"/>
        <v>0</v>
      </c>
      <c r="P23" s="26">
        <f t="shared" si="2"/>
        <v>0</v>
      </c>
      <c r="Q23" s="26">
        <f t="shared" si="3"/>
        <v>0</v>
      </c>
      <c r="S23">
        <v>0.97</v>
      </c>
      <c r="T23" s="26">
        <f t="shared" si="4"/>
        <v>0</v>
      </c>
      <c r="U23" s="26">
        <f t="shared" si="1"/>
        <v>0</v>
      </c>
      <c r="V23" s="26">
        <f t="shared" si="1"/>
        <v>0</v>
      </c>
      <c r="W23" s="26">
        <f t="shared" si="1"/>
        <v>0</v>
      </c>
      <c r="X23" s="26">
        <f t="shared" si="1"/>
        <v>0</v>
      </c>
      <c r="Y23" s="26">
        <f t="shared" si="1"/>
        <v>0</v>
      </c>
      <c r="Z23" s="26">
        <f t="shared" si="1"/>
        <v>0</v>
      </c>
      <c r="AA23" s="26">
        <f t="shared" si="1"/>
        <v>0</v>
      </c>
      <c r="AB23" s="26">
        <f t="shared" si="1"/>
        <v>0</v>
      </c>
      <c r="AC23" s="26">
        <f t="shared" si="1"/>
        <v>0</v>
      </c>
      <c r="AD23" s="26">
        <f t="shared" si="1"/>
        <v>0</v>
      </c>
      <c r="AE23" s="26">
        <f t="shared" si="1"/>
        <v>0</v>
      </c>
      <c r="AF23" s="26">
        <f t="shared" si="1"/>
        <v>0</v>
      </c>
      <c r="AG23" s="26">
        <f t="shared" si="1"/>
        <v>0</v>
      </c>
      <c r="AH23" s="26">
        <f t="shared" si="1"/>
        <v>0</v>
      </c>
    </row>
    <row r="24" spans="2:34" x14ac:dyDescent="0.25">
      <c r="B24">
        <v>0.98</v>
      </c>
      <c r="C24" s="26">
        <f t="shared" si="2"/>
        <v>0</v>
      </c>
      <c r="D24" s="26">
        <f t="shared" si="2"/>
        <v>0</v>
      </c>
      <c r="E24" s="26">
        <f t="shared" si="2"/>
        <v>0</v>
      </c>
      <c r="F24" s="26">
        <f t="shared" si="2"/>
        <v>0</v>
      </c>
      <c r="G24" s="26">
        <f t="shared" si="2"/>
        <v>0</v>
      </c>
      <c r="H24" s="26">
        <f t="shared" si="2"/>
        <v>0</v>
      </c>
      <c r="I24" s="26">
        <f t="shared" si="2"/>
        <v>0</v>
      </c>
      <c r="J24" s="26">
        <f t="shared" si="2"/>
        <v>0</v>
      </c>
      <c r="K24" s="26">
        <f t="shared" si="2"/>
        <v>0</v>
      </c>
      <c r="L24" s="26">
        <f t="shared" si="2"/>
        <v>0</v>
      </c>
      <c r="M24" s="26">
        <f t="shared" si="2"/>
        <v>0</v>
      </c>
      <c r="N24" s="26">
        <f t="shared" si="2"/>
        <v>0</v>
      </c>
      <c r="O24" s="26">
        <f t="shared" si="2"/>
        <v>0</v>
      </c>
      <c r="P24" s="26">
        <f t="shared" si="2"/>
        <v>0</v>
      </c>
      <c r="Q24" s="26">
        <f t="shared" si="3"/>
        <v>0</v>
      </c>
      <c r="S24">
        <v>0.98</v>
      </c>
      <c r="T24" s="26">
        <f t="shared" si="4"/>
        <v>0</v>
      </c>
      <c r="U24" s="26">
        <f t="shared" si="4"/>
        <v>0</v>
      </c>
      <c r="V24" s="26">
        <f t="shared" si="4"/>
        <v>0</v>
      </c>
      <c r="W24" s="26">
        <f t="shared" si="4"/>
        <v>0</v>
      </c>
      <c r="X24" s="26">
        <f t="shared" si="4"/>
        <v>0</v>
      </c>
      <c r="Y24" s="26">
        <f t="shared" si="4"/>
        <v>0</v>
      </c>
      <c r="Z24" s="26">
        <f t="shared" si="4"/>
        <v>0</v>
      </c>
      <c r="AA24" s="26">
        <f t="shared" si="4"/>
        <v>0</v>
      </c>
      <c r="AB24" s="26">
        <f t="shared" si="4"/>
        <v>0</v>
      </c>
      <c r="AC24" s="26">
        <f t="shared" si="4"/>
        <v>0</v>
      </c>
      <c r="AD24" s="26">
        <f t="shared" si="4"/>
        <v>0</v>
      </c>
      <c r="AE24" s="26">
        <f t="shared" si="4"/>
        <v>0</v>
      </c>
      <c r="AF24" s="26">
        <f t="shared" si="4"/>
        <v>0</v>
      </c>
      <c r="AG24" s="26">
        <f t="shared" si="4"/>
        <v>0</v>
      </c>
      <c r="AH24" s="26">
        <f t="shared" si="4"/>
        <v>0</v>
      </c>
    </row>
    <row r="25" spans="2:34" x14ac:dyDescent="0.25">
      <c r="B25">
        <v>0.99</v>
      </c>
      <c r="C25" s="26">
        <f t="shared" si="2"/>
        <v>0</v>
      </c>
      <c r="D25" s="26">
        <f t="shared" si="2"/>
        <v>0</v>
      </c>
      <c r="E25" s="26">
        <f t="shared" si="2"/>
        <v>0</v>
      </c>
      <c r="F25" s="26">
        <f t="shared" si="2"/>
        <v>0</v>
      </c>
      <c r="G25" s="26">
        <f t="shared" si="2"/>
        <v>0</v>
      </c>
      <c r="H25" s="26">
        <f t="shared" si="2"/>
        <v>0</v>
      </c>
      <c r="I25" s="26">
        <f t="shared" si="2"/>
        <v>0</v>
      </c>
      <c r="J25" s="26">
        <f t="shared" si="2"/>
        <v>0</v>
      </c>
      <c r="K25" s="26">
        <f t="shared" si="2"/>
        <v>0</v>
      </c>
      <c r="L25" s="26">
        <f t="shared" ref="D25:P40" si="5">LK_Z1($B25,L$7,$F$2,$G$2)</f>
        <v>0</v>
      </c>
      <c r="M25" s="26">
        <f t="shared" si="5"/>
        <v>0</v>
      </c>
      <c r="N25" s="26">
        <f t="shared" si="5"/>
        <v>0</v>
      </c>
      <c r="O25" s="26">
        <f t="shared" si="5"/>
        <v>0</v>
      </c>
      <c r="P25" s="26">
        <f t="shared" si="5"/>
        <v>0</v>
      </c>
      <c r="Q25" s="26">
        <f t="shared" si="3"/>
        <v>0</v>
      </c>
      <c r="S25">
        <v>0.99</v>
      </c>
      <c r="T25" s="26">
        <f t="shared" si="4"/>
        <v>0</v>
      </c>
      <c r="U25" s="26">
        <f t="shared" si="4"/>
        <v>0</v>
      </c>
      <c r="V25" s="26">
        <f t="shared" si="4"/>
        <v>0</v>
      </c>
      <c r="W25" s="26">
        <f t="shared" si="4"/>
        <v>0</v>
      </c>
      <c r="X25" s="26">
        <f t="shared" si="4"/>
        <v>0</v>
      </c>
      <c r="Y25" s="26">
        <f t="shared" si="4"/>
        <v>0</v>
      </c>
      <c r="Z25" s="26">
        <f t="shared" si="4"/>
        <v>0</v>
      </c>
      <c r="AA25" s="26">
        <f t="shared" si="4"/>
        <v>0</v>
      </c>
      <c r="AB25" s="26">
        <f t="shared" si="4"/>
        <v>0</v>
      </c>
      <c r="AC25" s="26">
        <f t="shared" si="4"/>
        <v>0</v>
      </c>
      <c r="AD25" s="26">
        <f t="shared" si="4"/>
        <v>0</v>
      </c>
      <c r="AE25" s="26">
        <f t="shared" si="4"/>
        <v>0</v>
      </c>
      <c r="AF25" s="26">
        <f t="shared" si="4"/>
        <v>0</v>
      </c>
      <c r="AG25" s="26">
        <f t="shared" si="4"/>
        <v>0</v>
      </c>
      <c r="AH25" s="26">
        <f t="shared" si="4"/>
        <v>0</v>
      </c>
    </row>
    <row r="26" spans="2:34" x14ac:dyDescent="0.25">
      <c r="B26">
        <v>1</v>
      </c>
      <c r="C26" s="26">
        <f t="shared" si="2"/>
        <v>0</v>
      </c>
      <c r="D26" s="26">
        <f t="shared" si="5"/>
        <v>0</v>
      </c>
      <c r="E26" s="26">
        <f t="shared" si="5"/>
        <v>0</v>
      </c>
      <c r="F26" s="26">
        <f t="shared" si="5"/>
        <v>0</v>
      </c>
      <c r="G26" s="26">
        <f t="shared" si="5"/>
        <v>0</v>
      </c>
      <c r="H26" s="26">
        <f t="shared" si="5"/>
        <v>0</v>
      </c>
      <c r="I26" s="26">
        <f t="shared" si="5"/>
        <v>0</v>
      </c>
      <c r="J26" s="26">
        <f t="shared" si="5"/>
        <v>0</v>
      </c>
      <c r="K26" s="26">
        <f t="shared" si="5"/>
        <v>0</v>
      </c>
      <c r="L26" s="26">
        <f t="shared" si="5"/>
        <v>0</v>
      </c>
      <c r="M26" s="26">
        <f t="shared" si="5"/>
        <v>0</v>
      </c>
      <c r="N26" s="26">
        <f t="shared" si="5"/>
        <v>0</v>
      </c>
      <c r="O26" s="26">
        <f t="shared" si="5"/>
        <v>0</v>
      </c>
      <c r="P26" s="26">
        <f t="shared" si="5"/>
        <v>0</v>
      </c>
      <c r="Q26" s="26">
        <f t="shared" si="3"/>
        <v>0</v>
      </c>
      <c r="S26">
        <v>1</v>
      </c>
      <c r="T26" s="26">
        <f t="shared" si="4"/>
        <v>0</v>
      </c>
      <c r="U26" s="26">
        <f t="shared" si="4"/>
        <v>0</v>
      </c>
      <c r="V26" s="26">
        <f t="shared" si="4"/>
        <v>0</v>
      </c>
      <c r="W26" s="26">
        <f t="shared" si="4"/>
        <v>0</v>
      </c>
      <c r="X26" s="26">
        <f t="shared" si="4"/>
        <v>0</v>
      </c>
      <c r="Y26" s="26">
        <f t="shared" si="4"/>
        <v>0</v>
      </c>
      <c r="Z26" s="26">
        <f t="shared" si="4"/>
        <v>0</v>
      </c>
      <c r="AA26" s="26">
        <f t="shared" si="4"/>
        <v>0</v>
      </c>
      <c r="AB26" s="26">
        <f t="shared" si="4"/>
        <v>0</v>
      </c>
      <c r="AC26" s="26">
        <f t="shared" si="4"/>
        <v>0</v>
      </c>
      <c r="AD26" s="26">
        <f t="shared" si="4"/>
        <v>0</v>
      </c>
      <c r="AE26" s="26">
        <f t="shared" si="4"/>
        <v>0</v>
      </c>
      <c r="AF26" s="26">
        <f t="shared" si="4"/>
        <v>0</v>
      </c>
      <c r="AG26" s="26">
        <f t="shared" si="4"/>
        <v>0</v>
      </c>
      <c r="AH26" s="26">
        <f t="shared" si="4"/>
        <v>0</v>
      </c>
    </row>
    <row r="27" spans="2:34" x14ac:dyDescent="0.25">
      <c r="B27">
        <v>1.01</v>
      </c>
      <c r="C27" s="26">
        <f t="shared" si="2"/>
        <v>0</v>
      </c>
      <c r="D27" s="26">
        <f t="shared" si="5"/>
        <v>0</v>
      </c>
      <c r="E27" s="26">
        <f t="shared" si="5"/>
        <v>0</v>
      </c>
      <c r="F27" s="26">
        <f t="shared" si="5"/>
        <v>0</v>
      </c>
      <c r="G27" s="26">
        <f t="shared" si="5"/>
        <v>0</v>
      </c>
      <c r="H27" s="26">
        <f t="shared" si="5"/>
        <v>0</v>
      </c>
      <c r="I27" s="26">
        <f t="shared" si="5"/>
        <v>0</v>
      </c>
      <c r="J27" s="26">
        <f t="shared" si="5"/>
        <v>0</v>
      </c>
      <c r="K27" s="26">
        <f t="shared" si="5"/>
        <v>0</v>
      </c>
      <c r="L27" s="26">
        <f t="shared" si="5"/>
        <v>0</v>
      </c>
      <c r="M27" s="26">
        <f t="shared" si="5"/>
        <v>0</v>
      </c>
      <c r="N27" s="26">
        <f t="shared" si="5"/>
        <v>0</v>
      </c>
      <c r="O27" s="26">
        <f t="shared" si="5"/>
        <v>0</v>
      </c>
      <c r="P27" s="26">
        <f t="shared" si="5"/>
        <v>0</v>
      </c>
      <c r="Q27" s="26">
        <f t="shared" si="3"/>
        <v>0</v>
      </c>
      <c r="S27">
        <v>1.01</v>
      </c>
      <c r="T27" s="26">
        <f t="shared" si="4"/>
        <v>0</v>
      </c>
      <c r="U27" s="26">
        <f t="shared" si="4"/>
        <v>0</v>
      </c>
      <c r="V27" s="26">
        <f t="shared" si="4"/>
        <v>0</v>
      </c>
      <c r="W27" s="26">
        <f t="shared" si="4"/>
        <v>0</v>
      </c>
      <c r="X27" s="26">
        <f t="shared" si="4"/>
        <v>0</v>
      </c>
      <c r="Y27" s="26">
        <f t="shared" si="4"/>
        <v>0</v>
      </c>
      <c r="Z27" s="26">
        <f t="shared" si="4"/>
        <v>0</v>
      </c>
      <c r="AA27" s="26">
        <f t="shared" si="4"/>
        <v>0</v>
      </c>
      <c r="AB27" s="26">
        <f t="shared" si="4"/>
        <v>0</v>
      </c>
      <c r="AC27" s="26">
        <f t="shared" si="4"/>
        <v>0</v>
      </c>
      <c r="AD27" s="26">
        <f t="shared" si="4"/>
        <v>0</v>
      </c>
      <c r="AE27" s="26">
        <f t="shared" si="4"/>
        <v>0</v>
      </c>
      <c r="AF27" s="26">
        <f t="shared" si="4"/>
        <v>0</v>
      </c>
      <c r="AG27" s="26">
        <f t="shared" si="4"/>
        <v>0</v>
      </c>
      <c r="AH27" s="26">
        <f t="shared" si="4"/>
        <v>0</v>
      </c>
    </row>
    <row r="28" spans="2:34" x14ac:dyDescent="0.25">
      <c r="B28">
        <v>1.02</v>
      </c>
      <c r="C28" s="26">
        <f t="shared" si="2"/>
        <v>0</v>
      </c>
      <c r="D28" s="26">
        <f t="shared" si="5"/>
        <v>0</v>
      </c>
      <c r="E28" s="26">
        <f t="shared" si="5"/>
        <v>0</v>
      </c>
      <c r="F28" s="26">
        <f t="shared" si="5"/>
        <v>0</v>
      </c>
      <c r="G28" s="26">
        <f t="shared" si="5"/>
        <v>0</v>
      </c>
      <c r="H28" s="26">
        <f t="shared" si="5"/>
        <v>0</v>
      </c>
      <c r="I28" s="26">
        <f t="shared" si="5"/>
        <v>0</v>
      </c>
      <c r="J28" s="26">
        <f t="shared" si="5"/>
        <v>0</v>
      </c>
      <c r="K28" s="26">
        <f t="shared" si="5"/>
        <v>0</v>
      </c>
      <c r="L28" s="26">
        <f t="shared" si="5"/>
        <v>0</v>
      </c>
      <c r="M28" s="26">
        <f t="shared" si="5"/>
        <v>0</v>
      </c>
      <c r="N28" s="26">
        <f t="shared" si="5"/>
        <v>0</v>
      </c>
      <c r="O28" s="26">
        <f t="shared" si="5"/>
        <v>0</v>
      </c>
      <c r="P28" s="26">
        <f t="shared" si="5"/>
        <v>0</v>
      </c>
      <c r="Q28" s="26">
        <f t="shared" si="3"/>
        <v>0</v>
      </c>
      <c r="S28">
        <v>1.02</v>
      </c>
      <c r="T28" s="26">
        <f t="shared" si="4"/>
        <v>0</v>
      </c>
      <c r="U28" s="26">
        <f t="shared" si="4"/>
        <v>0</v>
      </c>
      <c r="V28" s="26">
        <f t="shared" si="4"/>
        <v>0</v>
      </c>
      <c r="W28" s="26">
        <f t="shared" si="4"/>
        <v>0</v>
      </c>
      <c r="X28" s="26">
        <f t="shared" si="4"/>
        <v>0</v>
      </c>
      <c r="Y28" s="26">
        <f t="shared" si="4"/>
        <v>0</v>
      </c>
      <c r="Z28" s="26">
        <f t="shared" si="4"/>
        <v>0</v>
      </c>
      <c r="AA28" s="26">
        <f t="shared" si="4"/>
        <v>0</v>
      </c>
      <c r="AB28" s="26">
        <f t="shared" si="4"/>
        <v>0</v>
      </c>
      <c r="AC28" s="26">
        <f t="shared" si="4"/>
        <v>0</v>
      </c>
      <c r="AD28" s="26">
        <f t="shared" si="4"/>
        <v>0</v>
      </c>
      <c r="AE28" s="26">
        <f t="shared" si="4"/>
        <v>0</v>
      </c>
      <c r="AF28" s="26">
        <f t="shared" si="4"/>
        <v>0</v>
      </c>
      <c r="AG28" s="26">
        <f t="shared" si="4"/>
        <v>0</v>
      </c>
      <c r="AH28" s="26">
        <f t="shared" si="4"/>
        <v>0</v>
      </c>
    </row>
    <row r="29" spans="2:34" x14ac:dyDescent="0.25">
      <c r="B29">
        <v>1.05</v>
      </c>
      <c r="C29" s="26">
        <f t="shared" si="2"/>
        <v>0</v>
      </c>
      <c r="D29" s="26">
        <f t="shared" si="5"/>
        <v>0</v>
      </c>
      <c r="E29" s="26">
        <f t="shared" si="5"/>
        <v>0</v>
      </c>
      <c r="F29" s="26">
        <f t="shared" si="5"/>
        <v>0</v>
      </c>
      <c r="G29" s="26">
        <f t="shared" si="5"/>
        <v>0</v>
      </c>
      <c r="H29" s="26">
        <f t="shared" si="5"/>
        <v>0</v>
      </c>
      <c r="I29" s="26">
        <f t="shared" si="5"/>
        <v>0</v>
      </c>
      <c r="J29" s="26">
        <f t="shared" si="5"/>
        <v>0</v>
      </c>
      <c r="K29" s="26">
        <f t="shared" si="5"/>
        <v>0</v>
      </c>
      <c r="L29" s="26">
        <f t="shared" si="5"/>
        <v>0</v>
      </c>
      <c r="M29" s="26">
        <f t="shared" si="5"/>
        <v>0</v>
      </c>
      <c r="N29" s="26">
        <f t="shared" si="5"/>
        <v>0</v>
      </c>
      <c r="O29" s="26">
        <f t="shared" si="5"/>
        <v>0</v>
      </c>
      <c r="P29" s="26">
        <f t="shared" si="5"/>
        <v>0</v>
      </c>
      <c r="Q29" s="26">
        <f t="shared" si="3"/>
        <v>0</v>
      </c>
      <c r="S29">
        <v>1.05</v>
      </c>
      <c r="T29" s="26">
        <f t="shared" si="4"/>
        <v>0</v>
      </c>
      <c r="U29" s="26">
        <f t="shared" si="4"/>
        <v>0</v>
      </c>
      <c r="V29" s="26">
        <f t="shared" si="4"/>
        <v>0</v>
      </c>
      <c r="W29" s="26">
        <f t="shared" si="4"/>
        <v>0</v>
      </c>
      <c r="X29" s="26">
        <f t="shared" si="4"/>
        <v>0</v>
      </c>
      <c r="Y29" s="26">
        <f t="shared" si="4"/>
        <v>0</v>
      </c>
      <c r="Z29" s="26">
        <f t="shared" si="4"/>
        <v>0</v>
      </c>
      <c r="AA29" s="26">
        <f t="shared" si="4"/>
        <v>0</v>
      </c>
      <c r="AB29" s="26">
        <f t="shared" si="4"/>
        <v>0</v>
      </c>
      <c r="AC29" s="26">
        <f t="shared" si="4"/>
        <v>0</v>
      </c>
      <c r="AD29" s="26">
        <f t="shared" si="4"/>
        <v>0</v>
      </c>
      <c r="AE29" s="26">
        <f t="shared" si="4"/>
        <v>0</v>
      </c>
      <c r="AF29" s="26">
        <f t="shared" si="4"/>
        <v>0</v>
      </c>
      <c r="AG29" s="26">
        <f t="shared" si="4"/>
        <v>0</v>
      </c>
      <c r="AH29" s="26">
        <f t="shared" si="4"/>
        <v>0</v>
      </c>
    </row>
    <row r="30" spans="2:34" x14ac:dyDescent="0.25">
      <c r="B30">
        <v>1.1000000000000001</v>
      </c>
      <c r="C30" s="26">
        <f t="shared" si="2"/>
        <v>0</v>
      </c>
      <c r="D30" s="26">
        <f t="shared" si="5"/>
        <v>0</v>
      </c>
      <c r="E30" s="26">
        <f t="shared" si="5"/>
        <v>0</v>
      </c>
      <c r="F30" s="26">
        <f t="shared" si="5"/>
        <v>0</v>
      </c>
      <c r="G30" s="26">
        <f t="shared" si="5"/>
        <v>0</v>
      </c>
      <c r="H30" s="26">
        <f t="shared" si="5"/>
        <v>0</v>
      </c>
      <c r="I30" s="26">
        <f t="shared" si="5"/>
        <v>0</v>
      </c>
      <c r="J30" s="26">
        <f t="shared" si="5"/>
        <v>0</v>
      </c>
      <c r="K30" s="26">
        <f t="shared" si="5"/>
        <v>0</v>
      </c>
      <c r="L30" s="26">
        <f t="shared" si="5"/>
        <v>0</v>
      </c>
      <c r="M30" s="26">
        <f t="shared" si="5"/>
        <v>0</v>
      </c>
      <c r="N30" s="26">
        <f t="shared" si="5"/>
        <v>0</v>
      </c>
      <c r="O30" s="26">
        <f t="shared" si="5"/>
        <v>0</v>
      </c>
      <c r="P30" s="26">
        <f t="shared" si="5"/>
        <v>0</v>
      </c>
      <c r="Q30" s="26">
        <f t="shared" si="3"/>
        <v>0</v>
      </c>
      <c r="S30">
        <v>1.1000000000000001</v>
      </c>
      <c r="T30" s="26">
        <f t="shared" si="4"/>
        <v>0</v>
      </c>
      <c r="U30" s="26">
        <f t="shared" si="4"/>
        <v>0</v>
      </c>
      <c r="V30" s="26">
        <f t="shared" si="4"/>
        <v>0</v>
      </c>
      <c r="W30" s="26">
        <f t="shared" si="4"/>
        <v>0</v>
      </c>
      <c r="X30" s="26">
        <f t="shared" si="4"/>
        <v>0</v>
      </c>
      <c r="Y30" s="26">
        <f t="shared" si="4"/>
        <v>0</v>
      </c>
      <c r="Z30" s="26">
        <f t="shared" si="4"/>
        <v>0</v>
      </c>
      <c r="AA30" s="26">
        <f t="shared" si="4"/>
        <v>0</v>
      </c>
      <c r="AB30" s="26">
        <f t="shared" si="4"/>
        <v>0</v>
      </c>
      <c r="AC30" s="26">
        <f t="shared" si="4"/>
        <v>0</v>
      </c>
      <c r="AD30" s="26">
        <f t="shared" si="4"/>
        <v>0</v>
      </c>
      <c r="AE30" s="26">
        <f t="shared" si="4"/>
        <v>0</v>
      </c>
      <c r="AF30" s="26">
        <f t="shared" si="4"/>
        <v>0</v>
      </c>
      <c r="AG30" s="26">
        <f t="shared" si="4"/>
        <v>0</v>
      </c>
      <c r="AH30" s="26">
        <f t="shared" si="4"/>
        <v>0</v>
      </c>
    </row>
    <row r="31" spans="2:34" x14ac:dyDescent="0.25">
      <c r="B31">
        <v>1.1499999999999999</v>
      </c>
      <c r="C31" s="26">
        <f t="shared" si="2"/>
        <v>0</v>
      </c>
      <c r="D31" s="26">
        <f t="shared" si="5"/>
        <v>0</v>
      </c>
      <c r="E31" s="26">
        <f t="shared" si="5"/>
        <v>0</v>
      </c>
      <c r="F31" s="26">
        <f t="shared" si="5"/>
        <v>0</v>
      </c>
      <c r="G31" s="26">
        <f t="shared" si="5"/>
        <v>0</v>
      </c>
      <c r="H31" s="26">
        <f t="shared" si="5"/>
        <v>0</v>
      </c>
      <c r="I31" s="26">
        <f t="shared" si="5"/>
        <v>0</v>
      </c>
      <c r="J31" s="26">
        <f t="shared" si="5"/>
        <v>0</v>
      </c>
      <c r="K31" s="26">
        <f t="shared" si="5"/>
        <v>0</v>
      </c>
      <c r="L31" s="26">
        <f t="shared" si="5"/>
        <v>0</v>
      </c>
      <c r="M31" s="26">
        <f t="shared" si="5"/>
        <v>0</v>
      </c>
      <c r="N31" s="26">
        <f t="shared" si="5"/>
        <v>0</v>
      </c>
      <c r="O31" s="26">
        <f t="shared" si="5"/>
        <v>0</v>
      </c>
      <c r="P31" s="26">
        <f t="shared" si="5"/>
        <v>0</v>
      </c>
      <c r="Q31" s="26">
        <f t="shared" si="3"/>
        <v>0</v>
      </c>
      <c r="S31">
        <v>1.1499999999999999</v>
      </c>
      <c r="T31" s="26">
        <f t="shared" si="4"/>
        <v>0</v>
      </c>
      <c r="U31" s="26">
        <f t="shared" si="4"/>
        <v>0</v>
      </c>
      <c r="V31" s="26">
        <f t="shared" si="4"/>
        <v>0</v>
      </c>
      <c r="W31" s="26">
        <f t="shared" si="4"/>
        <v>0</v>
      </c>
      <c r="X31" s="26">
        <f t="shared" si="4"/>
        <v>0</v>
      </c>
      <c r="Y31" s="26">
        <f t="shared" si="4"/>
        <v>0</v>
      </c>
      <c r="Z31" s="26">
        <f t="shared" si="4"/>
        <v>0</v>
      </c>
      <c r="AA31" s="26">
        <f t="shared" si="4"/>
        <v>0</v>
      </c>
      <c r="AB31" s="26">
        <f t="shared" si="4"/>
        <v>0</v>
      </c>
      <c r="AC31" s="26">
        <f t="shared" si="4"/>
        <v>0</v>
      </c>
      <c r="AD31" s="26">
        <f t="shared" si="4"/>
        <v>0</v>
      </c>
      <c r="AE31" s="26">
        <f t="shared" si="4"/>
        <v>0</v>
      </c>
      <c r="AF31" s="26">
        <f t="shared" si="4"/>
        <v>0</v>
      </c>
      <c r="AG31" s="26">
        <f t="shared" si="4"/>
        <v>0</v>
      </c>
      <c r="AH31" s="26">
        <f t="shared" si="4"/>
        <v>0</v>
      </c>
    </row>
    <row r="32" spans="2:34" x14ac:dyDescent="0.25">
      <c r="B32">
        <v>1.2</v>
      </c>
      <c r="C32" s="26">
        <f t="shared" si="2"/>
        <v>0</v>
      </c>
      <c r="D32" s="26">
        <f t="shared" si="5"/>
        <v>0</v>
      </c>
      <c r="E32" s="26">
        <f t="shared" si="5"/>
        <v>0</v>
      </c>
      <c r="F32" s="26">
        <f t="shared" si="5"/>
        <v>0</v>
      </c>
      <c r="G32" s="26">
        <f t="shared" si="5"/>
        <v>0</v>
      </c>
      <c r="H32" s="26">
        <f t="shared" si="5"/>
        <v>0</v>
      </c>
      <c r="I32" s="26">
        <f t="shared" si="5"/>
        <v>0</v>
      </c>
      <c r="J32" s="26">
        <f t="shared" si="5"/>
        <v>0</v>
      </c>
      <c r="K32" s="26">
        <f t="shared" si="5"/>
        <v>0</v>
      </c>
      <c r="L32" s="26">
        <f t="shared" si="5"/>
        <v>0</v>
      </c>
      <c r="M32" s="26">
        <f t="shared" si="5"/>
        <v>0</v>
      </c>
      <c r="N32" s="26">
        <f t="shared" si="5"/>
        <v>0</v>
      </c>
      <c r="O32" s="26">
        <f t="shared" si="5"/>
        <v>0</v>
      </c>
      <c r="P32" s="26">
        <f t="shared" si="5"/>
        <v>0</v>
      </c>
      <c r="Q32" s="26">
        <f t="shared" si="3"/>
        <v>0</v>
      </c>
      <c r="S32">
        <v>1.2</v>
      </c>
      <c r="T32" s="26">
        <f t="shared" si="4"/>
        <v>0</v>
      </c>
      <c r="U32" s="26">
        <f t="shared" si="4"/>
        <v>0</v>
      </c>
      <c r="V32" s="26">
        <f t="shared" si="4"/>
        <v>0</v>
      </c>
      <c r="W32" s="26">
        <f t="shared" si="4"/>
        <v>0</v>
      </c>
      <c r="X32" s="26">
        <f t="shared" si="4"/>
        <v>0</v>
      </c>
      <c r="Y32" s="26">
        <f t="shared" si="4"/>
        <v>0</v>
      </c>
      <c r="Z32" s="26">
        <f t="shared" si="4"/>
        <v>0</v>
      </c>
      <c r="AA32" s="26">
        <f t="shared" si="4"/>
        <v>0</v>
      </c>
      <c r="AB32" s="26">
        <f t="shared" si="4"/>
        <v>0</v>
      </c>
      <c r="AC32" s="26">
        <f t="shared" si="4"/>
        <v>0</v>
      </c>
      <c r="AD32" s="26">
        <f t="shared" si="4"/>
        <v>0</v>
      </c>
      <c r="AE32" s="26">
        <f t="shared" si="4"/>
        <v>0</v>
      </c>
      <c r="AF32" s="26">
        <f t="shared" si="4"/>
        <v>0</v>
      </c>
      <c r="AG32" s="26">
        <f t="shared" si="4"/>
        <v>0</v>
      </c>
      <c r="AH32" s="26">
        <f t="shared" si="4"/>
        <v>0</v>
      </c>
    </row>
    <row r="33" spans="2:34" x14ac:dyDescent="0.25">
      <c r="B33">
        <v>1.3</v>
      </c>
      <c r="C33" s="26">
        <f t="shared" si="2"/>
        <v>0</v>
      </c>
      <c r="D33" s="26">
        <f t="shared" si="5"/>
        <v>0</v>
      </c>
      <c r="E33" s="26">
        <f t="shared" si="5"/>
        <v>0</v>
      </c>
      <c r="F33" s="26">
        <f t="shared" si="5"/>
        <v>0</v>
      </c>
      <c r="G33" s="26">
        <f t="shared" si="5"/>
        <v>0</v>
      </c>
      <c r="H33" s="26">
        <f t="shared" si="5"/>
        <v>0</v>
      </c>
      <c r="I33" s="26">
        <f t="shared" si="5"/>
        <v>0</v>
      </c>
      <c r="J33" s="26">
        <f t="shared" si="5"/>
        <v>0</v>
      </c>
      <c r="K33" s="26">
        <f t="shared" si="5"/>
        <v>0</v>
      </c>
      <c r="L33" s="26">
        <f t="shared" si="5"/>
        <v>0</v>
      </c>
      <c r="M33" s="26">
        <f t="shared" si="5"/>
        <v>0</v>
      </c>
      <c r="N33" s="26">
        <f t="shared" si="5"/>
        <v>0</v>
      </c>
      <c r="O33" s="26">
        <f t="shared" si="5"/>
        <v>0</v>
      </c>
      <c r="P33" s="26">
        <f t="shared" si="5"/>
        <v>0</v>
      </c>
      <c r="Q33" s="26">
        <f t="shared" si="3"/>
        <v>0</v>
      </c>
      <c r="S33">
        <v>1.3</v>
      </c>
      <c r="T33" s="26">
        <f t="shared" si="4"/>
        <v>0</v>
      </c>
      <c r="U33" s="26">
        <f t="shared" si="4"/>
        <v>0</v>
      </c>
      <c r="V33" s="26">
        <f t="shared" si="4"/>
        <v>0</v>
      </c>
      <c r="W33" s="26">
        <f t="shared" si="4"/>
        <v>0</v>
      </c>
      <c r="X33" s="26">
        <f t="shared" si="4"/>
        <v>0</v>
      </c>
      <c r="Y33" s="26">
        <f t="shared" si="4"/>
        <v>0</v>
      </c>
      <c r="Z33" s="26">
        <f t="shared" si="4"/>
        <v>0</v>
      </c>
      <c r="AA33" s="26">
        <f t="shared" si="4"/>
        <v>0</v>
      </c>
      <c r="AB33" s="26">
        <f t="shared" si="4"/>
        <v>0</v>
      </c>
      <c r="AC33" s="26">
        <f t="shared" si="4"/>
        <v>0</v>
      </c>
      <c r="AD33" s="26">
        <f t="shared" si="4"/>
        <v>0</v>
      </c>
      <c r="AE33" s="26">
        <f t="shared" si="4"/>
        <v>0</v>
      </c>
      <c r="AF33" s="26">
        <f t="shared" si="4"/>
        <v>0</v>
      </c>
      <c r="AG33" s="26">
        <f t="shared" si="4"/>
        <v>0</v>
      </c>
      <c r="AH33" s="26">
        <f t="shared" si="4"/>
        <v>0</v>
      </c>
    </row>
    <row r="34" spans="2:34" x14ac:dyDescent="0.25">
      <c r="B34">
        <v>1.4</v>
      </c>
      <c r="C34" s="26">
        <f t="shared" si="2"/>
        <v>0</v>
      </c>
      <c r="D34" s="26">
        <f t="shared" si="5"/>
        <v>0</v>
      </c>
      <c r="E34" s="26">
        <f t="shared" si="5"/>
        <v>0</v>
      </c>
      <c r="F34" s="26">
        <f t="shared" si="5"/>
        <v>0</v>
      </c>
      <c r="G34" s="26">
        <f t="shared" si="5"/>
        <v>0</v>
      </c>
      <c r="H34" s="26">
        <f t="shared" si="5"/>
        <v>0</v>
      </c>
      <c r="I34" s="26">
        <f t="shared" si="5"/>
        <v>0</v>
      </c>
      <c r="J34" s="26">
        <f t="shared" si="5"/>
        <v>0</v>
      </c>
      <c r="K34" s="26">
        <f t="shared" si="5"/>
        <v>0</v>
      </c>
      <c r="L34" s="26">
        <f t="shared" si="5"/>
        <v>0</v>
      </c>
      <c r="M34" s="26">
        <f t="shared" si="5"/>
        <v>0</v>
      </c>
      <c r="N34" s="26">
        <f t="shared" si="5"/>
        <v>0</v>
      </c>
      <c r="O34" s="26">
        <f t="shared" si="5"/>
        <v>0</v>
      </c>
      <c r="P34" s="26">
        <f t="shared" si="5"/>
        <v>0</v>
      </c>
      <c r="Q34" s="26">
        <f t="shared" si="3"/>
        <v>0</v>
      </c>
      <c r="S34">
        <v>1.4</v>
      </c>
      <c r="T34" s="26">
        <f t="shared" si="4"/>
        <v>0</v>
      </c>
      <c r="U34" s="26">
        <f t="shared" si="4"/>
        <v>0</v>
      </c>
      <c r="V34" s="26">
        <f t="shared" si="4"/>
        <v>0</v>
      </c>
      <c r="W34" s="26">
        <f t="shared" si="4"/>
        <v>0</v>
      </c>
      <c r="X34" s="26">
        <f t="shared" si="4"/>
        <v>0</v>
      </c>
      <c r="Y34" s="26">
        <f t="shared" si="4"/>
        <v>0</v>
      </c>
      <c r="Z34" s="26">
        <f t="shared" si="4"/>
        <v>0</v>
      </c>
      <c r="AA34" s="26">
        <f t="shared" si="4"/>
        <v>0</v>
      </c>
      <c r="AB34" s="26">
        <f t="shared" si="4"/>
        <v>0</v>
      </c>
      <c r="AC34" s="26">
        <f t="shared" si="4"/>
        <v>0</v>
      </c>
      <c r="AD34" s="26">
        <f t="shared" si="4"/>
        <v>0</v>
      </c>
      <c r="AE34" s="26">
        <f t="shared" si="4"/>
        <v>0</v>
      </c>
      <c r="AF34" s="26">
        <f t="shared" si="4"/>
        <v>0</v>
      </c>
      <c r="AG34" s="26">
        <f t="shared" si="4"/>
        <v>0</v>
      </c>
      <c r="AH34" s="26">
        <f t="shared" si="4"/>
        <v>0</v>
      </c>
    </row>
    <row r="35" spans="2:34" x14ac:dyDescent="0.25">
      <c r="B35">
        <v>1.5</v>
      </c>
      <c r="C35" s="26">
        <f t="shared" si="2"/>
        <v>0</v>
      </c>
      <c r="D35" s="26">
        <f t="shared" si="5"/>
        <v>0</v>
      </c>
      <c r="E35" s="26">
        <f t="shared" si="5"/>
        <v>0</v>
      </c>
      <c r="F35" s="26">
        <f t="shared" si="5"/>
        <v>0</v>
      </c>
      <c r="G35" s="26">
        <f t="shared" si="5"/>
        <v>0</v>
      </c>
      <c r="H35" s="26">
        <f t="shared" si="5"/>
        <v>0</v>
      </c>
      <c r="I35" s="26">
        <f t="shared" si="5"/>
        <v>0</v>
      </c>
      <c r="J35" s="26">
        <f t="shared" si="5"/>
        <v>0</v>
      </c>
      <c r="K35" s="26">
        <f t="shared" si="5"/>
        <v>0</v>
      </c>
      <c r="L35" s="26">
        <f t="shared" si="5"/>
        <v>0</v>
      </c>
      <c r="M35" s="26">
        <f t="shared" si="5"/>
        <v>0</v>
      </c>
      <c r="N35" s="26">
        <f t="shared" si="5"/>
        <v>0</v>
      </c>
      <c r="O35" s="26">
        <f t="shared" si="5"/>
        <v>0</v>
      </c>
      <c r="P35" s="26">
        <f t="shared" si="5"/>
        <v>0</v>
      </c>
      <c r="Q35" s="26">
        <f t="shared" si="3"/>
        <v>0</v>
      </c>
      <c r="S35">
        <v>1.5</v>
      </c>
      <c r="T35" s="26">
        <f t="shared" si="4"/>
        <v>0</v>
      </c>
      <c r="U35" s="26">
        <f t="shared" si="4"/>
        <v>0</v>
      </c>
      <c r="V35" s="26">
        <f t="shared" si="4"/>
        <v>0</v>
      </c>
      <c r="W35" s="26">
        <f t="shared" si="4"/>
        <v>0</v>
      </c>
      <c r="X35" s="26">
        <f t="shared" si="4"/>
        <v>0</v>
      </c>
      <c r="Y35" s="26">
        <f t="shared" si="4"/>
        <v>0</v>
      </c>
      <c r="Z35" s="26">
        <f t="shared" si="4"/>
        <v>0</v>
      </c>
      <c r="AA35" s="26">
        <f t="shared" si="4"/>
        <v>0</v>
      </c>
      <c r="AB35" s="26">
        <f t="shared" si="4"/>
        <v>0</v>
      </c>
      <c r="AC35" s="26">
        <f t="shared" si="4"/>
        <v>0</v>
      </c>
      <c r="AD35" s="26">
        <f t="shared" si="4"/>
        <v>0</v>
      </c>
      <c r="AE35" s="26">
        <f t="shared" si="4"/>
        <v>0</v>
      </c>
      <c r="AF35" s="26">
        <f t="shared" si="4"/>
        <v>0</v>
      </c>
      <c r="AG35" s="26">
        <f t="shared" si="4"/>
        <v>0</v>
      </c>
      <c r="AH35" s="26">
        <f t="shared" si="4"/>
        <v>0</v>
      </c>
    </row>
    <row r="36" spans="2:34" x14ac:dyDescent="0.25">
      <c r="B36">
        <v>1.6</v>
      </c>
      <c r="C36" s="26">
        <f t="shared" si="2"/>
        <v>0</v>
      </c>
      <c r="D36" s="26">
        <f t="shared" si="5"/>
        <v>0</v>
      </c>
      <c r="E36" s="26">
        <f t="shared" si="5"/>
        <v>0</v>
      </c>
      <c r="F36" s="26">
        <f t="shared" si="5"/>
        <v>0</v>
      </c>
      <c r="G36" s="26">
        <f t="shared" si="5"/>
        <v>0</v>
      </c>
      <c r="H36" s="26">
        <f t="shared" si="5"/>
        <v>0</v>
      </c>
      <c r="I36" s="26">
        <f t="shared" si="5"/>
        <v>0</v>
      </c>
      <c r="J36" s="26">
        <f t="shared" si="5"/>
        <v>0</v>
      </c>
      <c r="K36" s="26">
        <f t="shared" si="5"/>
        <v>0</v>
      </c>
      <c r="L36" s="26">
        <f t="shared" si="5"/>
        <v>0</v>
      </c>
      <c r="M36" s="26">
        <f t="shared" si="5"/>
        <v>0</v>
      </c>
      <c r="N36" s="26">
        <f t="shared" si="5"/>
        <v>0</v>
      </c>
      <c r="O36" s="26">
        <f t="shared" si="5"/>
        <v>0</v>
      </c>
      <c r="P36" s="26">
        <f t="shared" si="5"/>
        <v>0</v>
      </c>
      <c r="Q36" s="26">
        <f t="shared" si="3"/>
        <v>0</v>
      </c>
      <c r="S36">
        <v>1.6</v>
      </c>
      <c r="T36" s="26">
        <f t="shared" si="4"/>
        <v>0</v>
      </c>
      <c r="U36" s="26">
        <f t="shared" si="4"/>
        <v>0</v>
      </c>
      <c r="V36" s="26">
        <f t="shared" si="4"/>
        <v>0</v>
      </c>
      <c r="W36" s="26">
        <f t="shared" si="4"/>
        <v>0</v>
      </c>
      <c r="X36" s="26">
        <f t="shared" si="4"/>
        <v>0</v>
      </c>
      <c r="Y36" s="26">
        <f t="shared" si="4"/>
        <v>0</v>
      </c>
      <c r="Z36" s="26">
        <f t="shared" si="4"/>
        <v>0</v>
      </c>
      <c r="AA36" s="26">
        <f t="shared" si="4"/>
        <v>0</v>
      </c>
      <c r="AB36" s="26">
        <f t="shared" si="4"/>
        <v>0</v>
      </c>
      <c r="AC36" s="26">
        <f t="shared" si="4"/>
        <v>0</v>
      </c>
      <c r="AD36" s="26">
        <f t="shared" si="4"/>
        <v>0</v>
      </c>
      <c r="AE36" s="26">
        <f t="shared" si="4"/>
        <v>0</v>
      </c>
      <c r="AF36" s="26">
        <f t="shared" si="4"/>
        <v>0</v>
      </c>
      <c r="AG36" s="26">
        <f t="shared" si="4"/>
        <v>0</v>
      </c>
      <c r="AH36" s="26">
        <f t="shared" si="4"/>
        <v>0</v>
      </c>
    </row>
    <row r="37" spans="2:34" x14ac:dyDescent="0.25">
      <c r="B37">
        <v>1.7</v>
      </c>
      <c r="C37" s="26">
        <f t="shared" si="2"/>
        <v>0</v>
      </c>
      <c r="D37" s="26">
        <f t="shared" si="5"/>
        <v>0</v>
      </c>
      <c r="E37" s="26">
        <f t="shared" si="5"/>
        <v>0</v>
      </c>
      <c r="F37" s="26">
        <f t="shared" si="5"/>
        <v>0</v>
      </c>
      <c r="G37" s="26">
        <f t="shared" si="5"/>
        <v>0</v>
      </c>
      <c r="H37" s="26">
        <f t="shared" si="5"/>
        <v>0</v>
      </c>
      <c r="I37" s="26">
        <f t="shared" si="5"/>
        <v>0</v>
      </c>
      <c r="J37" s="26">
        <f t="shared" si="5"/>
        <v>0</v>
      </c>
      <c r="K37" s="26">
        <f t="shared" si="5"/>
        <v>0</v>
      </c>
      <c r="L37" s="26">
        <f t="shared" si="5"/>
        <v>0</v>
      </c>
      <c r="M37" s="26">
        <f t="shared" si="5"/>
        <v>0</v>
      </c>
      <c r="N37" s="26">
        <f t="shared" si="5"/>
        <v>0</v>
      </c>
      <c r="O37" s="26">
        <f t="shared" si="5"/>
        <v>0</v>
      </c>
      <c r="P37" s="26">
        <f t="shared" si="5"/>
        <v>0</v>
      </c>
      <c r="Q37" s="26">
        <f t="shared" si="3"/>
        <v>0</v>
      </c>
      <c r="S37">
        <v>1.7</v>
      </c>
      <c r="T37" s="26">
        <f t="shared" si="4"/>
        <v>0</v>
      </c>
      <c r="U37" s="26">
        <f t="shared" si="4"/>
        <v>0</v>
      </c>
      <c r="V37" s="26">
        <f t="shared" si="4"/>
        <v>0</v>
      </c>
      <c r="W37" s="26">
        <f t="shared" si="4"/>
        <v>0</v>
      </c>
      <c r="X37" s="26">
        <f t="shared" si="4"/>
        <v>0</v>
      </c>
      <c r="Y37" s="26">
        <f t="shared" si="4"/>
        <v>0</v>
      </c>
      <c r="Z37" s="26">
        <f t="shared" si="4"/>
        <v>0</v>
      </c>
      <c r="AA37" s="26">
        <f t="shared" si="4"/>
        <v>0</v>
      </c>
      <c r="AB37" s="26">
        <f t="shared" si="4"/>
        <v>0</v>
      </c>
      <c r="AC37" s="26">
        <f t="shared" si="4"/>
        <v>0</v>
      </c>
      <c r="AD37" s="26">
        <f t="shared" si="4"/>
        <v>0</v>
      </c>
      <c r="AE37" s="26">
        <f t="shared" si="4"/>
        <v>0</v>
      </c>
      <c r="AF37" s="26">
        <f t="shared" si="4"/>
        <v>0</v>
      </c>
      <c r="AG37" s="26">
        <f t="shared" si="4"/>
        <v>0</v>
      </c>
      <c r="AH37" s="26">
        <f t="shared" si="4"/>
        <v>0</v>
      </c>
    </row>
    <row r="38" spans="2:34" x14ac:dyDescent="0.25">
      <c r="B38">
        <v>1.8</v>
      </c>
      <c r="C38" s="26">
        <f t="shared" si="2"/>
        <v>0</v>
      </c>
      <c r="D38" s="26">
        <f t="shared" si="5"/>
        <v>0</v>
      </c>
      <c r="E38" s="26">
        <f t="shared" si="5"/>
        <v>0</v>
      </c>
      <c r="F38" s="26">
        <f t="shared" si="5"/>
        <v>0</v>
      </c>
      <c r="G38" s="26">
        <f t="shared" si="5"/>
        <v>0</v>
      </c>
      <c r="H38" s="26">
        <f t="shared" si="5"/>
        <v>0</v>
      </c>
      <c r="I38" s="26">
        <f t="shared" si="5"/>
        <v>0</v>
      </c>
      <c r="J38" s="26">
        <f t="shared" si="5"/>
        <v>0</v>
      </c>
      <c r="K38" s="26">
        <f t="shared" si="5"/>
        <v>0</v>
      </c>
      <c r="L38" s="26">
        <f t="shared" si="5"/>
        <v>0</v>
      </c>
      <c r="M38" s="26">
        <f t="shared" si="5"/>
        <v>0</v>
      </c>
      <c r="N38" s="26">
        <f t="shared" si="5"/>
        <v>0</v>
      </c>
      <c r="O38" s="26">
        <f t="shared" si="5"/>
        <v>0</v>
      </c>
      <c r="P38" s="26">
        <f t="shared" si="5"/>
        <v>0</v>
      </c>
      <c r="Q38" s="26">
        <f t="shared" si="3"/>
        <v>0</v>
      </c>
      <c r="S38">
        <v>1.8</v>
      </c>
      <c r="T38" s="26">
        <f t="shared" si="4"/>
        <v>0</v>
      </c>
      <c r="U38" s="26">
        <f t="shared" si="4"/>
        <v>0</v>
      </c>
      <c r="V38" s="26">
        <f t="shared" si="4"/>
        <v>0</v>
      </c>
      <c r="W38" s="26">
        <f t="shared" si="4"/>
        <v>0</v>
      </c>
      <c r="X38" s="26">
        <f t="shared" si="4"/>
        <v>0</v>
      </c>
      <c r="Y38" s="26">
        <f t="shared" si="4"/>
        <v>0</v>
      </c>
      <c r="Z38" s="26">
        <f t="shared" si="4"/>
        <v>0</v>
      </c>
      <c r="AA38" s="26">
        <f t="shared" si="4"/>
        <v>0</v>
      </c>
      <c r="AB38" s="26">
        <f t="shared" si="4"/>
        <v>0</v>
      </c>
      <c r="AC38" s="26">
        <f t="shared" si="4"/>
        <v>0</v>
      </c>
      <c r="AD38" s="26">
        <f t="shared" si="4"/>
        <v>0</v>
      </c>
      <c r="AE38" s="26">
        <f t="shared" si="4"/>
        <v>0</v>
      </c>
      <c r="AF38" s="26">
        <f t="shared" si="4"/>
        <v>0</v>
      </c>
      <c r="AG38" s="26">
        <f t="shared" si="4"/>
        <v>0</v>
      </c>
      <c r="AH38" s="26">
        <f t="shared" si="4"/>
        <v>0</v>
      </c>
    </row>
    <row r="39" spans="2:34" x14ac:dyDescent="0.25">
      <c r="B39">
        <v>1.9</v>
      </c>
      <c r="C39" s="26">
        <f t="shared" si="2"/>
        <v>0</v>
      </c>
      <c r="D39" s="26">
        <f t="shared" si="5"/>
        <v>0</v>
      </c>
      <c r="E39" s="26">
        <f t="shared" si="5"/>
        <v>0</v>
      </c>
      <c r="F39" s="26">
        <f t="shared" si="5"/>
        <v>0</v>
      </c>
      <c r="G39" s="26">
        <f t="shared" si="5"/>
        <v>0</v>
      </c>
      <c r="H39" s="26">
        <f t="shared" si="5"/>
        <v>0</v>
      </c>
      <c r="I39" s="26">
        <f t="shared" si="5"/>
        <v>0</v>
      </c>
      <c r="J39" s="26">
        <f t="shared" si="5"/>
        <v>0</v>
      </c>
      <c r="K39" s="26">
        <f t="shared" si="5"/>
        <v>0</v>
      </c>
      <c r="L39" s="26">
        <f t="shared" si="5"/>
        <v>0</v>
      </c>
      <c r="M39" s="26">
        <f t="shared" si="5"/>
        <v>0</v>
      </c>
      <c r="N39" s="26">
        <f t="shared" si="5"/>
        <v>0</v>
      </c>
      <c r="O39" s="26">
        <f t="shared" si="5"/>
        <v>0</v>
      </c>
      <c r="P39" s="26">
        <f t="shared" si="5"/>
        <v>0</v>
      </c>
      <c r="Q39" s="26">
        <f t="shared" si="3"/>
        <v>0</v>
      </c>
      <c r="S39">
        <v>1.9</v>
      </c>
      <c r="T39" s="26">
        <f t="shared" si="4"/>
        <v>0</v>
      </c>
      <c r="U39" s="26">
        <f t="shared" si="4"/>
        <v>0</v>
      </c>
      <c r="V39" s="26">
        <f t="shared" si="4"/>
        <v>0</v>
      </c>
      <c r="W39" s="26">
        <f t="shared" si="4"/>
        <v>0</v>
      </c>
      <c r="X39" s="26">
        <f t="shared" si="4"/>
        <v>0</v>
      </c>
      <c r="Y39" s="26">
        <f t="shared" si="4"/>
        <v>0</v>
      </c>
      <c r="Z39" s="26">
        <f t="shared" si="4"/>
        <v>0</v>
      </c>
      <c r="AA39" s="26">
        <f t="shared" si="4"/>
        <v>0</v>
      </c>
      <c r="AB39" s="26">
        <f t="shared" si="4"/>
        <v>0</v>
      </c>
      <c r="AC39" s="26">
        <f t="shared" si="4"/>
        <v>0</v>
      </c>
      <c r="AD39" s="26">
        <f t="shared" si="4"/>
        <v>0</v>
      </c>
      <c r="AE39" s="26">
        <f t="shared" si="4"/>
        <v>0</v>
      </c>
      <c r="AF39" s="26">
        <f t="shared" si="4"/>
        <v>0</v>
      </c>
      <c r="AG39" s="26">
        <f t="shared" si="4"/>
        <v>0</v>
      </c>
      <c r="AH39" s="26">
        <f t="shared" si="4"/>
        <v>0</v>
      </c>
    </row>
    <row r="40" spans="2:34" x14ac:dyDescent="0.25">
      <c r="B40">
        <v>2</v>
      </c>
      <c r="C40" s="26">
        <f t="shared" si="2"/>
        <v>0</v>
      </c>
      <c r="D40" s="26">
        <f t="shared" si="5"/>
        <v>0</v>
      </c>
      <c r="E40" s="26">
        <f t="shared" si="5"/>
        <v>0</v>
      </c>
      <c r="F40" s="26">
        <f t="shared" si="5"/>
        <v>0</v>
      </c>
      <c r="G40" s="26">
        <f t="shared" si="5"/>
        <v>0</v>
      </c>
      <c r="H40" s="26">
        <f t="shared" si="5"/>
        <v>0</v>
      </c>
      <c r="I40" s="26">
        <f t="shared" si="5"/>
        <v>0</v>
      </c>
      <c r="J40" s="26">
        <f t="shared" si="5"/>
        <v>0</v>
      </c>
      <c r="K40" s="26">
        <f t="shared" si="5"/>
        <v>0</v>
      </c>
      <c r="L40" s="26">
        <f t="shared" si="5"/>
        <v>0</v>
      </c>
      <c r="M40" s="26">
        <f t="shared" si="5"/>
        <v>0</v>
      </c>
      <c r="N40" s="26">
        <f t="shared" si="5"/>
        <v>0</v>
      </c>
      <c r="O40" s="26">
        <f t="shared" si="5"/>
        <v>0</v>
      </c>
      <c r="P40" s="26">
        <f t="shared" si="5"/>
        <v>0</v>
      </c>
      <c r="Q40" s="26">
        <f t="shared" si="3"/>
        <v>0</v>
      </c>
      <c r="S40">
        <v>2</v>
      </c>
      <c r="T40" s="26">
        <f t="shared" ref="T40:AH47" si="6">LK_Z1($S40,T$7,$F$2,$G$3)</f>
        <v>0</v>
      </c>
      <c r="U40" s="26">
        <f t="shared" si="6"/>
        <v>0</v>
      </c>
      <c r="V40" s="26">
        <f t="shared" si="6"/>
        <v>0</v>
      </c>
      <c r="W40" s="26">
        <f t="shared" si="6"/>
        <v>0</v>
      </c>
      <c r="X40" s="26">
        <f t="shared" si="6"/>
        <v>0</v>
      </c>
      <c r="Y40" s="26">
        <f t="shared" si="6"/>
        <v>0</v>
      </c>
      <c r="Z40" s="26">
        <f t="shared" si="6"/>
        <v>0</v>
      </c>
      <c r="AA40" s="26">
        <f t="shared" si="6"/>
        <v>0</v>
      </c>
      <c r="AB40" s="26">
        <f t="shared" si="6"/>
        <v>0</v>
      </c>
      <c r="AC40" s="26">
        <f t="shared" si="6"/>
        <v>0</v>
      </c>
      <c r="AD40" s="26">
        <f t="shared" si="6"/>
        <v>0</v>
      </c>
      <c r="AE40" s="26">
        <f t="shared" si="6"/>
        <v>0</v>
      </c>
      <c r="AF40" s="26">
        <f t="shared" si="6"/>
        <v>0</v>
      </c>
      <c r="AG40" s="26">
        <f t="shared" si="6"/>
        <v>0</v>
      </c>
      <c r="AH40" s="26">
        <f t="shared" si="6"/>
        <v>0</v>
      </c>
    </row>
    <row r="41" spans="2:34" x14ac:dyDescent="0.25">
      <c r="B41">
        <v>2.2000000000000002</v>
      </c>
      <c r="C41" s="26">
        <f t="shared" si="2"/>
        <v>0</v>
      </c>
      <c r="D41" s="26">
        <f t="shared" ref="D41:P47" si="7">LK_Z1($B41,D$7,$F$2,$G$2)</f>
        <v>0</v>
      </c>
      <c r="E41" s="26">
        <f t="shared" si="7"/>
        <v>0</v>
      </c>
      <c r="F41" s="26">
        <f t="shared" si="7"/>
        <v>0</v>
      </c>
      <c r="G41" s="26">
        <f t="shared" si="7"/>
        <v>0</v>
      </c>
      <c r="H41" s="26">
        <f t="shared" si="7"/>
        <v>0</v>
      </c>
      <c r="I41" s="26">
        <f t="shared" si="7"/>
        <v>0</v>
      </c>
      <c r="J41" s="26">
        <f t="shared" si="7"/>
        <v>0</v>
      </c>
      <c r="K41" s="26">
        <f t="shared" si="7"/>
        <v>0</v>
      </c>
      <c r="L41" s="26">
        <f t="shared" si="7"/>
        <v>0</v>
      </c>
      <c r="M41" s="26">
        <f t="shared" si="7"/>
        <v>0</v>
      </c>
      <c r="N41" s="26">
        <f t="shared" si="7"/>
        <v>0</v>
      </c>
      <c r="O41" s="26">
        <f t="shared" si="7"/>
        <v>0</v>
      </c>
      <c r="P41" s="26">
        <f t="shared" si="7"/>
        <v>0</v>
      </c>
      <c r="Q41" s="26">
        <f t="shared" si="3"/>
        <v>0</v>
      </c>
      <c r="S41">
        <v>2.2000000000000002</v>
      </c>
      <c r="T41" s="26">
        <f t="shared" si="6"/>
        <v>0</v>
      </c>
      <c r="U41" s="26">
        <f t="shared" si="6"/>
        <v>0</v>
      </c>
      <c r="V41" s="26">
        <f t="shared" si="6"/>
        <v>0</v>
      </c>
      <c r="W41" s="26">
        <f t="shared" si="6"/>
        <v>0</v>
      </c>
      <c r="X41" s="26">
        <f t="shared" si="6"/>
        <v>0</v>
      </c>
      <c r="Y41" s="26">
        <f t="shared" si="6"/>
        <v>0</v>
      </c>
      <c r="Z41" s="26">
        <f t="shared" si="6"/>
        <v>0</v>
      </c>
      <c r="AA41" s="26">
        <f t="shared" si="6"/>
        <v>0</v>
      </c>
      <c r="AB41" s="26">
        <f t="shared" si="6"/>
        <v>0</v>
      </c>
      <c r="AC41" s="26">
        <f t="shared" si="6"/>
        <v>0</v>
      </c>
      <c r="AD41" s="26">
        <f t="shared" si="6"/>
        <v>0</v>
      </c>
      <c r="AE41" s="26">
        <f t="shared" si="6"/>
        <v>0</v>
      </c>
      <c r="AF41" s="26">
        <f t="shared" si="6"/>
        <v>0</v>
      </c>
      <c r="AG41" s="26">
        <f t="shared" si="6"/>
        <v>0</v>
      </c>
      <c r="AH41" s="26">
        <f t="shared" si="6"/>
        <v>0</v>
      </c>
    </row>
    <row r="42" spans="2:34" x14ac:dyDescent="0.25">
      <c r="B42">
        <v>2.4</v>
      </c>
      <c r="C42" s="26">
        <f t="shared" si="2"/>
        <v>0</v>
      </c>
      <c r="D42" s="26">
        <f t="shared" si="7"/>
        <v>0</v>
      </c>
      <c r="E42" s="26">
        <f t="shared" si="7"/>
        <v>0</v>
      </c>
      <c r="F42" s="26">
        <f t="shared" si="7"/>
        <v>0</v>
      </c>
      <c r="G42" s="26">
        <f t="shared" si="7"/>
        <v>0</v>
      </c>
      <c r="H42" s="26">
        <f t="shared" si="7"/>
        <v>0</v>
      </c>
      <c r="I42" s="26">
        <f t="shared" si="7"/>
        <v>0</v>
      </c>
      <c r="J42" s="26">
        <f t="shared" si="7"/>
        <v>0</v>
      </c>
      <c r="K42" s="26">
        <f t="shared" si="7"/>
        <v>0</v>
      </c>
      <c r="L42" s="26">
        <f t="shared" si="7"/>
        <v>0</v>
      </c>
      <c r="M42" s="26">
        <f t="shared" si="7"/>
        <v>0</v>
      </c>
      <c r="N42" s="26">
        <f t="shared" si="7"/>
        <v>0</v>
      </c>
      <c r="O42" s="26">
        <f t="shared" si="7"/>
        <v>0</v>
      </c>
      <c r="P42" s="26">
        <f t="shared" si="7"/>
        <v>0</v>
      </c>
      <c r="Q42" s="26">
        <f t="shared" si="3"/>
        <v>0</v>
      </c>
      <c r="S42">
        <v>2.4</v>
      </c>
      <c r="T42" s="26">
        <f t="shared" si="6"/>
        <v>0</v>
      </c>
      <c r="U42" s="26">
        <f t="shared" si="6"/>
        <v>0</v>
      </c>
      <c r="V42" s="26">
        <f t="shared" si="6"/>
        <v>0</v>
      </c>
      <c r="W42" s="26">
        <f t="shared" si="6"/>
        <v>0</v>
      </c>
      <c r="X42" s="26">
        <f t="shared" si="6"/>
        <v>0</v>
      </c>
      <c r="Y42" s="26">
        <f t="shared" si="6"/>
        <v>0</v>
      </c>
      <c r="Z42" s="26">
        <f t="shared" si="6"/>
        <v>0</v>
      </c>
      <c r="AA42" s="26">
        <f t="shared" si="6"/>
        <v>0</v>
      </c>
      <c r="AB42" s="26">
        <f t="shared" si="6"/>
        <v>0</v>
      </c>
      <c r="AC42" s="26">
        <f t="shared" si="6"/>
        <v>0</v>
      </c>
      <c r="AD42" s="26">
        <f t="shared" si="6"/>
        <v>0</v>
      </c>
      <c r="AE42" s="26">
        <f t="shared" si="6"/>
        <v>0</v>
      </c>
      <c r="AF42" s="26">
        <f t="shared" si="6"/>
        <v>0</v>
      </c>
      <c r="AG42" s="26">
        <f t="shared" si="6"/>
        <v>0</v>
      </c>
      <c r="AH42" s="26">
        <f t="shared" si="6"/>
        <v>0</v>
      </c>
    </row>
    <row r="43" spans="2:34" x14ac:dyDescent="0.25">
      <c r="B43">
        <v>2.6</v>
      </c>
      <c r="C43" s="26">
        <f t="shared" si="2"/>
        <v>0</v>
      </c>
      <c r="D43" s="26">
        <f t="shared" si="7"/>
        <v>0</v>
      </c>
      <c r="E43" s="26">
        <f t="shared" si="7"/>
        <v>0</v>
      </c>
      <c r="F43" s="26">
        <f t="shared" si="7"/>
        <v>0</v>
      </c>
      <c r="G43" s="26">
        <f t="shared" si="7"/>
        <v>0</v>
      </c>
      <c r="H43" s="26">
        <f t="shared" si="7"/>
        <v>0</v>
      </c>
      <c r="I43" s="26">
        <f t="shared" si="7"/>
        <v>0</v>
      </c>
      <c r="J43" s="26">
        <f t="shared" si="7"/>
        <v>0</v>
      </c>
      <c r="K43" s="26">
        <f t="shared" si="7"/>
        <v>0</v>
      </c>
      <c r="L43" s="26">
        <f t="shared" si="7"/>
        <v>0</v>
      </c>
      <c r="M43" s="26">
        <f t="shared" si="7"/>
        <v>0</v>
      </c>
      <c r="N43" s="26">
        <f t="shared" si="7"/>
        <v>0</v>
      </c>
      <c r="O43" s="26">
        <f t="shared" si="7"/>
        <v>0</v>
      </c>
      <c r="P43" s="26">
        <f t="shared" si="7"/>
        <v>0</v>
      </c>
      <c r="Q43" s="26">
        <f t="shared" si="3"/>
        <v>0</v>
      </c>
      <c r="S43">
        <v>2.6</v>
      </c>
      <c r="T43" s="26">
        <f t="shared" si="6"/>
        <v>0</v>
      </c>
      <c r="U43" s="26">
        <f t="shared" si="6"/>
        <v>0</v>
      </c>
      <c r="V43" s="26">
        <f t="shared" si="6"/>
        <v>0</v>
      </c>
      <c r="W43" s="26">
        <f t="shared" si="6"/>
        <v>0</v>
      </c>
      <c r="X43" s="26">
        <f t="shared" si="6"/>
        <v>0</v>
      </c>
      <c r="Y43" s="26">
        <f t="shared" si="6"/>
        <v>0</v>
      </c>
      <c r="Z43" s="26">
        <f t="shared" si="6"/>
        <v>0</v>
      </c>
      <c r="AA43" s="26">
        <f t="shared" si="6"/>
        <v>0</v>
      </c>
      <c r="AB43" s="26">
        <f t="shared" si="6"/>
        <v>0</v>
      </c>
      <c r="AC43" s="26">
        <f t="shared" si="6"/>
        <v>0</v>
      </c>
      <c r="AD43" s="26">
        <f t="shared" si="6"/>
        <v>0</v>
      </c>
      <c r="AE43" s="26">
        <f t="shared" si="6"/>
        <v>0</v>
      </c>
      <c r="AF43" s="26">
        <f t="shared" si="6"/>
        <v>0</v>
      </c>
      <c r="AG43" s="26">
        <f t="shared" si="6"/>
        <v>0</v>
      </c>
      <c r="AH43" s="26">
        <f t="shared" si="6"/>
        <v>0</v>
      </c>
    </row>
    <row r="44" spans="2:34" x14ac:dyDescent="0.25">
      <c r="B44">
        <v>2.8</v>
      </c>
      <c r="C44" s="26">
        <f t="shared" si="2"/>
        <v>0</v>
      </c>
      <c r="D44" s="26">
        <f t="shared" si="7"/>
        <v>0</v>
      </c>
      <c r="E44" s="26">
        <f t="shared" si="7"/>
        <v>0</v>
      </c>
      <c r="F44" s="26">
        <f t="shared" si="7"/>
        <v>0</v>
      </c>
      <c r="G44" s="26">
        <f t="shared" si="7"/>
        <v>0</v>
      </c>
      <c r="H44" s="26">
        <f t="shared" si="7"/>
        <v>0</v>
      </c>
      <c r="I44" s="26">
        <f t="shared" si="7"/>
        <v>0</v>
      </c>
      <c r="J44" s="26">
        <f t="shared" si="7"/>
        <v>0</v>
      </c>
      <c r="K44" s="26">
        <f t="shared" si="7"/>
        <v>0</v>
      </c>
      <c r="L44" s="26">
        <f t="shared" si="7"/>
        <v>0</v>
      </c>
      <c r="M44" s="26">
        <f t="shared" si="7"/>
        <v>0</v>
      </c>
      <c r="N44" s="26">
        <f t="shared" si="7"/>
        <v>0</v>
      </c>
      <c r="O44" s="26">
        <f t="shared" si="7"/>
        <v>0</v>
      </c>
      <c r="P44" s="26">
        <f t="shared" si="7"/>
        <v>0</v>
      </c>
      <c r="Q44" s="26">
        <f t="shared" si="3"/>
        <v>0</v>
      </c>
      <c r="S44">
        <v>2.8</v>
      </c>
      <c r="T44" s="26">
        <f t="shared" si="6"/>
        <v>0</v>
      </c>
      <c r="U44" s="26">
        <f t="shared" si="6"/>
        <v>0</v>
      </c>
      <c r="V44" s="26">
        <f t="shared" si="6"/>
        <v>0</v>
      </c>
      <c r="W44" s="26">
        <f t="shared" si="6"/>
        <v>0</v>
      </c>
      <c r="X44" s="26">
        <f t="shared" si="6"/>
        <v>0</v>
      </c>
      <c r="Y44" s="26">
        <f t="shared" si="6"/>
        <v>0</v>
      </c>
      <c r="Z44" s="26">
        <f t="shared" si="6"/>
        <v>0</v>
      </c>
      <c r="AA44" s="26">
        <f t="shared" si="6"/>
        <v>0</v>
      </c>
      <c r="AB44" s="26">
        <f t="shared" si="6"/>
        <v>0</v>
      </c>
      <c r="AC44" s="26">
        <f t="shared" si="6"/>
        <v>0</v>
      </c>
      <c r="AD44" s="26">
        <f t="shared" si="6"/>
        <v>0</v>
      </c>
      <c r="AE44" s="26">
        <f t="shared" si="6"/>
        <v>0</v>
      </c>
      <c r="AF44" s="26">
        <f t="shared" si="6"/>
        <v>0</v>
      </c>
      <c r="AG44" s="26">
        <f t="shared" si="6"/>
        <v>0</v>
      </c>
      <c r="AH44" s="26">
        <f t="shared" si="6"/>
        <v>0</v>
      </c>
    </row>
    <row r="45" spans="2:34" x14ac:dyDescent="0.25">
      <c r="B45">
        <v>3</v>
      </c>
      <c r="C45" s="26">
        <f t="shared" si="2"/>
        <v>0</v>
      </c>
      <c r="D45" s="26">
        <f t="shared" si="7"/>
        <v>0</v>
      </c>
      <c r="E45" s="26">
        <f t="shared" si="7"/>
        <v>0</v>
      </c>
      <c r="F45" s="26">
        <f t="shared" si="7"/>
        <v>0</v>
      </c>
      <c r="G45" s="26">
        <f t="shared" si="7"/>
        <v>0</v>
      </c>
      <c r="H45" s="26">
        <f t="shared" si="7"/>
        <v>0</v>
      </c>
      <c r="I45" s="26">
        <f t="shared" si="7"/>
        <v>0</v>
      </c>
      <c r="J45" s="26">
        <f t="shared" si="7"/>
        <v>0</v>
      </c>
      <c r="K45" s="26">
        <f t="shared" si="7"/>
        <v>0</v>
      </c>
      <c r="L45" s="26">
        <f t="shared" si="7"/>
        <v>0</v>
      </c>
      <c r="M45" s="26">
        <f t="shared" si="7"/>
        <v>0</v>
      </c>
      <c r="N45" s="26">
        <f t="shared" si="7"/>
        <v>0</v>
      </c>
      <c r="O45" s="26">
        <f t="shared" si="7"/>
        <v>0</v>
      </c>
      <c r="P45" s="26">
        <f t="shared" si="7"/>
        <v>0</v>
      </c>
      <c r="Q45" s="26">
        <f t="shared" si="3"/>
        <v>0</v>
      </c>
      <c r="S45">
        <v>3</v>
      </c>
      <c r="T45" s="26">
        <f t="shared" si="6"/>
        <v>0</v>
      </c>
      <c r="U45" s="26">
        <f t="shared" si="6"/>
        <v>0</v>
      </c>
      <c r="V45" s="26">
        <f t="shared" si="6"/>
        <v>0</v>
      </c>
      <c r="W45" s="26">
        <f t="shared" si="6"/>
        <v>0</v>
      </c>
      <c r="X45" s="26">
        <f t="shared" si="6"/>
        <v>0</v>
      </c>
      <c r="Y45" s="26">
        <f t="shared" si="6"/>
        <v>0</v>
      </c>
      <c r="Z45" s="26">
        <f t="shared" si="6"/>
        <v>0</v>
      </c>
      <c r="AA45" s="26">
        <f t="shared" si="6"/>
        <v>0</v>
      </c>
      <c r="AB45" s="26">
        <f t="shared" si="6"/>
        <v>0</v>
      </c>
      <c r="AC45" s="26">
        <f t="shared" si="6"/>
        <v>0</v>
      </c>
      <c r="AD45" s="26">
        <f t="shared" si="6"/>
        <v>0</v>
      </c>
      <c r="AE45" s="26">
        <f t="shared" si="6"/>
        <v>0</v>
      </c>
      <c r="AF45" s="26">
        <f t="shared" si="6"/>
        <v>0</v>
      </c>
      <c r="AG45" s="26">
        <f t="shared" si="6"/>
        <v>0</v>
      </c>
      <c r="AH45" s="26">
        <f t="shared" si="6"/>
        <v>0</v>
      </c>
    </row>
    <row r="46" spans="2:34" x14ac:dyDescent="0.25">
      <c r="B46">
        <v>3.5</v>
      </c>
      <c r="C46" s="26">
        <f t="shared" si="2"/>
        <v>0</v>
      </c>
      <c r="D46" s="26">
        <f t="shared" si="7"/>
        <v>0</v>
      </c>
      <c r="E46" s="26">
        <f t="shared" si="7"/>
        <v>0</v>
      </c>
      <c r="F46" s="26">
        <f t="shared" si="7"/>
        <v>0</v>
      </c>
      <c r="G46" s="26">
        <f t="shared" si="7"/>
        <v>0</v>
      </c>
      <c r="H46" s="26">
        <f t="shared" si="7"/>
        <v>0</v>
      </c>
      <c r="I46" s="26">
        <f t="shared" si="7"/>
        <v>0</v>
      </c>
      <c r="J46" s="26">
        <f t="shared" si="7"/>
        <v>0</v>
      </c>
      <c r="K46" s="26">
        <f t="shared" si="7"/>
        <v>0</v>
      </c>
      <c r="L46" s="26">
        <f t="shared" si="7"/>
        <v>0</v>
      </c>
      <c r="M46" s="26">
        <f t="shared" si="7"/>
        <v>0</v>
      </c>
      <c r="N46" s="26">
        <f t="shared" si="7"/>
        <v>0</v>
      </c>
      <c r="O46" s="26">
        <f t="shared" si="7"/>
        <v>0</v>
      </c>
      <c r="P46" s="26">
        <f t="shared" si="7"/>
        <v>0</v>
      </c>
      <c r="Q46" s="26">
        <f t="shared" si="3"/>
        <v>0</v>
      </c>
      <c r="S46">
        <v>3.5</v>
      </c>
      <c r="T46" s="26">
        <f t="shared" si="6"/>
        <v>0</v>
      </c>
      <c r="U46" s="26">
        <f t="shared" si="6"/>
        <v>0</v>
      </c>
      <c r="V46" s="26">
        <f t="shared" si="6"/>
        <v>0</v>
      </c>
      <c r="W46" s="26">
        <f t="shared" si="6"/>
        <v>0</v>
      </c>
      <c r="X46" s="26">
        <f t="shared" si="6"/>
        <v>0</v>
      </c>
      <c r="Y46" s="26">
        <f t="shared" si="6"/>
        <v>0</v>
      </c>
      <c r="Z46" s="26">
        <f t="shared" si="6"/>
        <v>0</v>
      </c>
      <c r="AA46" s="26">
        <f t="shared" si="6"/>
        <v>0</v>
      </c>
      <c r="AB46" s="26">
        <f t="shared" si="6"/>
        <v>0</v>
      </c>
      <c r="AC46" s="26">
        <f t="shared" si="6"/>
        <v>0</v>
      </c>
      <c r="AD46" s="26">
        <f t="shared" si="6"/>
        <v>0</v>
      </c>
      <c r="AE46" s="26">
        <f t="shared" si="6"/>
        <v>0</v>
      </c>
      <c r="AF46" s="26">
        <f t="shared" si="6"/>
        <v>0</v>
      </c>
      <c r="AG46" s="26">
        <f t="shared" si="6"/>
        <v>0</v>
      </c>
      <c r="AH46" s="26">
        <f t="shared" si="6"/>
        <v>0</v>
      </c>
    </row>
    <row r="47" spans="2:34" x14ac:dyDescent="0.25">
      <c r="B47">
        <v>4</v>
      </c>
      <c r="C47" s="26">
        <f t="shared" si="2"/>
        <v>0</v>
      </c>
      <c r="D47" s="26">
        <f t="shared" si="7"/>
        <v>0</v>
      </c>
      <c r="E47" s="26">
        <f t="shared" si="7"/>
        <v>0</v>
      </c>
      <c r="F47" s="26">
        <f t="shared" si="7"/>
        <v>0</v>
      </c>
      <c r="G47" s="26">
        <f t="shared" si="7"/>
        <v>0</v>
      </c>
      <c r="H47" s="26">
        <f t="shared" si="7"/>
        <v>0</v>
      </c>
      <c r="I47" s="26">
        <f t="shared" si="7"/>
        <v>0</v>
      </c>
      <c r="J47" s="26">
        <f t="shared" si="7"/>
        <v>0</v>
      </c>
      <c r="K47" s="26">
        <f t="shared" si="7"/>
        <v>0</v>
      </c>
      <c r="L47" s="26">
        <f t="shared" si="7"/>
        <v>0</v>
      </c>
      <c r="M47" s="26">
        <f t="shared" si="7"/>
        <v>0</v>
      </c>
      <c r="N47" s="26">
        <f t="shared" si="7"/>
        <v>0</v>
      </c>
      <c r="O47" s="26">
        <f t="shared" si="7"/>
        <v>0</v>
      </c>
      <c r="P47" s="26">
        <f t="shared" si="7"/>
        <v>0</v>
      </c>
      <c r="Q47" s="26">
        <f t="shared" si="3"/>
        <v>0</v>
      </c>
      <c r="S47">
        <v>4</v>
      </c>
      <c r="T47" s="26">
        <f t="shared" si="6"/>
        <v>0</v>
      </c>
      <c r="U47" s="26">
        <f t="shared" si="6"/>
        <v>0</v>
      </c>
      <c r="V47" s="26">
        <f t="shared" si="6"/>
        <v>0</v>
      </c>
      <c r="W47" s="26">
        <f t="shared" si="6"/>
        <v>0</v>
      </c>
      <c r="X47" s="26">
        <f t="shared" si="6"/>
        <v>0</v>
      </c>
      <c r="Y47" s="26">
        <f t="shared" si="6"/>
        <v>0</v>
      </c>
      <c r="Z47" s="26">
        <f t="shared" si="6"/>
        <v>0</v>
      </c>
      <c r="AA47" s="26">
        <f t="shared" si="6"/>
        <v>0</v>
      </c>
      <c r="AB47" s="26">
        <f t="shared" si="6"/>
        <v>0</v>
      </c>
      <c r="AC47" s="26">
        <f t="shared" si="6"/>
        <v>0</v>
      </c>
      <c r="AD47" s="26">
        <f t="shared" si="6"/>
        <v>0</v>
      </c>
      <c r="AE47" s="26">
        <f t="shared" si="6"/>
        <v>0</v>
      </c>
      <c r="AF47" s="26">
        <f t="shared" si="6"/>
        <v>0</v>
      </c>
      <c r="AG47" s="26">
        <f t="shared" si="6"/>
        <v>0</v>
      </c>
      <c r="AH47" s="26">
        <f t="shared" si="6"/>
        <v>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2:AH43"/>
  <sheetViews>
    <sheetView zoomScale="70" zoomScaleNormal="70" workbookViewId="0">
      <selection activeCell="T20" sqref="T20"/>
    </sheetView>
  </sheetViews>
  <sheetFormatPr defaultRowHeight="15" x14ac:dyDescent="0.25"/>
  <sheetData>
    <row r="2" spans="2:34" x14ac:dyDescent="0.25">
      <c r="B2" t="s">
        <v>241</v>
      </c>
      <c r="S2" t="s">
        <v>242</v>
      </c>
      <c r="T2" t="s">
        <v>243</v>
      </c>
    </row>
    <row r="3" spans="2:34" x14ac:dyDescent="0.25">
      <c r="B3" t="s">
        <v>232</v>
      </c>
      <c r="C3">
        <v>0.01</v>
      </c>
      <c r="D3">
        <v>0.05</v>
      </c>
      <c r="E3">
        <v>0.1</v>
      </c>
      <c r="F3">
        <v>0.2</v>
      </c>
      <c r="G3">
        <v>0.4</v>
      </c>
      <c r="H3">
        <v>0.6</v>
      </c>
      <c r="I3">
        <v>0.8</v>
      </c>
      <c r="J3">
        <v>1</v>
      </c>
      <c r="K3">
        <v>1.2</v>
      </c>
      <c r="L3">
        <v>1.5</v>
      </c>
      <c r="M3">
        <v>2</v>
      </c>
      <c r="N3">
        <v>3</v>
      </c>
      <c r="O3">
        <v>5</v>
      </c>
      <c r="P3">
        <v>7</v>
      </c>
      <c r="Q3">
        <v>10</v>
      </c>
      <c r="S3" t="s">
        <v>232</v>
      </c>
      <c r="T3">
        <v>0.01</v>
      </c>
      <c r="U3">
        <v>0.05</v>
      </c>
      <c r="V3">
        <v>0.1</v>
      </c>
      <c r="W3">
        <v>0.2</v>
      </c>
      <c r="X3">
        <v>0.4</v>
      </c>
      <c r="Y3">
        <v>0.6</v>
      </c>
      <c r="Z3">
        <v>0.8</v>
      </c>
      <c r="AA3">
        <v>1</v>
      </c>
      <c r="AB3">
        <v>1.2</v>
      </c>
      <c r="AC3">
        <v>1.5</v>
      </c>
      <c r="AD3">
        <v>2</v>
      </c>
      <c r="AE3">
        <v>3</v>
      </c>
      <c r="AF3">
        <v>5</v>
      </c>
      <c r="AG3">
        <v>7</v>
      </c>
      <c r="AH3">
        <v>10</v>
      </c>
    </row>
    <row r="4" spans="2:34" x14ac:dyDescent="0.25">
      <c r="B4">
        <v>0.3</v>
      </c>
      <c r="C4">
        <v>2.8999999999999998E-3</v>
      </c>
      <c r="D4">
        <v>1.4500000000000001E-2</v>
      </c>
      <c r="E4">
        <v>2.9000000000000001E-2</v>
      </c>
      <c r="F4">
        <v>5.79E-2</v>
      </c>
      <c r="G4">
        <v>0.1158</v>
      </c>
      <c r="H4">
        <v>0.17369999999999999</v>
      </c>
      <c r="I4">
        <v>0.23150000000000001</v>
      </c>
      <c r="J4">
        <v>0.28920000000000001</v>
      </c>
      <c r="K4">
        <v>0.34789999999999999</v>
      </c>
      <c r="L4">
        <v>0.4335</v>
      </c>
      <c r="M4">
        <v>0.57750000000000001</v>
      </c>
      <c r="N4">
        <v>0.86480000000000001</v>
      </c>
      <c r="O4">
        <v>1.4366000000000001</v>
      </c>
      <c r="P4">
        <v>2.0047999999999999</v>
      </c>
      <c r="Q4">
        <v>2.8506999999999998</v>
      </c>
      <c r="S4">
        <v>0.3</v>
      </c>
      <c r="T4">
        <v>-8.0000000000000004E-4</v>
      </c>
      <c r="U4">
        <v>-4.0000000000000001E-3</v>
      </c>
      <c r="V4">
        <v>-8.0999999999999996E-3</v>
      </c>
      <c r="W4">
        <v>-1.61E-2</v>
      </c>
      <c r="X4">
        <v>-3.2300000000000002E-2</v>
      </c>
      <c r="Y4">
        <v>-4.8399999999999999E-2</v>
      </c>
      <c r="Z4">
        <v>-6.4500000000000002E-2</v>
      </c>
      <c r="AA4">
        <v>-8.0600000000000005E-2</v>
      </c>
      <c r="AB4">
        <v>-9.6600000000000005E-2</v>
      </c>
      <c r="AC4">
        <v>-0.1207</v>
      </c>
      <c r="AD4">
        <v>-0.1608</v>
      </c>
      <c r="AE4">
        <v>-0.2407</v>
      </c>
      <c r="AF4">
        <v>-0.39960000000000001</v>
      </c>
      <c r="AG4">
        <v>-0.55720000000000003</v>
      </c>
      <c r="AH4">
        <v>-0.79149999999999998</v>
      </c>
    </row>
    <row r="5" spans="2:34" x14ac:dyDescent="0.25">
      <c r="B5">
        <v>0.35</v>
      </c>
      <c r="C5">
        <v>2.5999999999999999E-3</v>
      </c>
      <c r="D5">
        <v>1.2999999999999999E-2</v>
      </c>
      <c r="E5">
        <v>2.6100000000000002E-2</v>
      </c>
      <c r="F5">
        <v>5.2200000000000003E-2</v>
      </c>
      <c r="G5">
        <v>0.1043</v>
      </c>
      <c r="H5">
        <v>0.15640000000000001</v>
      </c>
      <c r="I5">
        <v>0.2084</v>
      </c>
      <c r="J5">
        <v>0.26040000000000002</v>
      </c>
      <c r="K5">
        <v>0.31230000000000002</v>
      </c>
      <c r="L5">
        <v>0.3901</v>
      </c>
      <c r="M5">
        <v>0.51949999999999996</v>
      </c>
      <c r="N5">
        <v>0.77749999999999997</v>
      </c>
      <c r="O5">
        <v>1.2902</v>
      </c>
      <c r="P5">
        <v>1.7987</v>
      </c>
      <c r="Q5">
        <v>2.5539000000000001</v>
      </c>
      <c r="S5">
        <v>0.35</v>
      </c>
      <c r="T5">
        <v>-8.9999999999999998E-4</v>
      </c>
      <c r="U5">
        <v>-4.5999999999999999E-3</v>
      </c>
      <c r="V5">
        <v>-9.2999999999999992E-3</v>
      </c>
      <c r="W5">
        <v>-1.8499999999999999E-2</v>
      </c>
      <c r="X5">
        <v>-3.6999999999999998E-2</v>
      </c>
      <c r="Y5">
        <v>-5.5399999999999998E-2</v>
      </c>
      <c r="Z5">
        <v>-7.3800000000000004E-2</v>
      </c>
      <c r="AA5">
        <v>-9.2100000000000001E-2</v>
      </c>
      <c r="AB5">
        <v>-0.1105</v>
      </c>
      <c r="AC5">
        <v>-0.13789999999999999</v>
      </c>
      <c r="AD5">
        <v>-0.18340000000000001</v>
      </c>
      <c r="AE5">
        <v>-0.27379999999999999</v>
      </c>
      <c r="AF5">
        <v>-0.45229999999999998</v>
      </c>
      <c r="AG5">
        <v>-0.62790000000000001</v>
      </c>
      <c r="AH5">
        <v>-0.88629999999999998</v>
      </c>
    </row>
    <row r="6" spans="2:34" x14ac:dyDescent="0.25">
      <c r="B6">
        <v>0.4</v>
      </c>
      <c r="C6">
        <v>2.3999999999999998E-3</v>
      </c>
      <c r="D6">
        <v>1.1900000000000001E-2</v>
      </c>
      <c r="E6">
        <v>2.3900000000000001E-2</v>
      </c>
      <c r="F6">
        <v>4.7699999999999999E-2</v>
      </c>
      <c r="G6">
        <v>9.5299999999999996E-2</v>
      </c>
      <c r="H6">
        <v>0.1429</v>
      </c>
      <c r="I6">
        <v>0.19040000000000001</v>
      </c>
      <c r="J6">
        <v>0.2379</v>
      </c>
      <c r="K6">
        <v>0.2853</v>
      </c>
      <c r="L6">
        <v>0.35630000000000001</v>
      </c>
      <c r="M6">
        <v>0.47439999999999999</v>
      </c>
      <c r="N6">
        <v>0.70950000000000002</v>
      </c>
      <c r="O6">
        <v>1.1758</v>
      </c>
      <c r="P6">
        <v>1.6373</v>
      </c>
      <c r="Q6">
        <v>2.3210999999999999</v>
      </c>
      <c r="S6">
        <v>0.4</v>
      </c>
      <c r="T6">
        <v>-1E-3</v>
      </c>
      <c r="U6">
        <v>-4.7999999999999996E-3</v>
      </c>
      <c r="V6">
        <v>-9.4999999999999998E-3</v>
      </c>
      <c r="W6">
        <v>-1.9E-2</v>
      </c>
      <c r="X6">
        <v>-3.7999999999999999E-2</v>
      </c>
      <c r="Y6">
        <v>-5.7000000000000002E-2</v>
      </c>
      <c r="Z6">
        <v>-7.5800000000000006E-2</v>
      </c>
      <c r="AA6">
        <v>-9.4600000000000004E-2</v>
      </c>
      <c r="AB6">
        <v>-0.1134</v>
      </c>
      <c r="AC6">
        <v>-0.1414</v>
      </c>
      <c r="AD6">
        <v>-0.18790000000000001</v>
      </c>
      <c r="AE6">
        <v>-0.27989999999999998</v>
      </c>
      <c r="AF6">
        <v>-0.46029999999999999</v>
      </c>
      <c r="AG6">
        <v>-0.63649999999999995</v>
      </c>
      <c r="AH6">
        <v>-0.89359999999999995</v>
      </c>
    </row>
    <row r="7" spans="2:34" x14ac:dyDescent="0.25">
      <c r="B7">
        <v>0.45</v>
      </c>
      <c r="C7">
        <v>2.2000000000000001E-3</v>
      </c>
      <c r="D7">
        <v>1.0999999999999999E-2</v>
      </c>
      <c r="E7">
        <v>2.2100000000000002E-2</v>
      </c>
      <c r="F7">
        <v>4.4200000000000003E-2</v>
      </c>
      <c r="G7">
        <v>8.8200000000000001E-2</v>
      </c>
      <c r="H7">
        <v>0.13220000000000001</v>
      </c>
      <c r="I7">
        <v>0.1762</v>
      </c>
      <c r="J7">
        <v>0.22</v>
      </c>
      <c r="K7">
        <v>0.26379999999999998</v>
      </c>
      <c r="L7">
        <v>0.32940000000000003</v>
      </c>
      <c r="M7">
        <v>0.43840000000000001</v>
      </c>
      <c r="N7">
        <v>0.65510000000000002</v>
      </c>
      <c r="O7">
        <v>1.0841000000000001</v>
      </c>
      <c r="P7">
        <v>1.5077</v>
      </c>
      <c r="Q7">
        <v>2.1337999999999999</v>
      </c>
      <c r="S7">
        <v>0.45</v>
      </c>
      <c r="T7">
        <v>-8.9999999999999998E-4</v>
      </c>
      <c r="U7">
        <v>-4.7000000000000002E-3</v>
      </c>
      <c r="V7">
        <v>-9.4000000000000004E-3</v>
      </c>
      <c r="W7">
        <v>-1.8700000000000001E-2</v>
      </c>
      <c r="X7">
        <v>-3.7400000000000003E-2</v>
      </c>
      <c r="Y7">
        <v>-5.6000000000000001E-2</v>
      </c>
      <c r="Z7">
        <v>-7.4499999999999997E-2</v>
      </c>
      <c r="AA7">
        <v>-9.2899999999999996E-2</v>
      </c>
      <c r="AB7">
        <v>-0.1113</v>
      </c>
      <c r="AC7">
        <v>-0.13869999999999999</v>
      </c>
      <c r="AD7">
        <v>-0.184</v>
      </c>
      <c r="AE7">
        <v>-0.27339999999999998</v>
      </c>
      <c r="AF7">
        <v>-0.44750000000000001</v>
      </c>
      <c r="AG7">
        <v>-0.61619999999999997</v>
      </c>
      <c r="AH7">
        <v>-0.86060000000000003</v>
      </c>
    </row>
    <row r="8" spans="2:34" x14ac:dyDescent="0.25">
      <c r="B8">
        <v>0.5</v>
      </c>
      <c r="C8">
        <v>2.0999999999999999E-3</v>
      </c>
      <c r="D8">
        <v>1.03E-2</v>
      </c>
      <c r="E8">
        <v>2.07E-2</v>
      </c>
      <c r="F8">
        <v>4.1300000000000003E-2</v>
      </c>
      <c r="G8">
        <v>8.2500000000000004E-2</v>
      </c>
      <c r="H8">
        <v>0.1236</v>
      </c>
      <c r="I8">
        <v>0.16470000000000001</v>
      </c>
      <c r="J8">
        <v>0.2056</v>
      </c>
      <c r="K8">
        <v>0.2465</v>
      </c>
      <c r="L8">
        <v>0.30769999999999997</v>
      </c>
      <c r="M8">
        <v>0.40920000000000001</v>
      </c>
      <c r="N8">
        <v>0.61099999999999999</v>
      </c>
      <c r="O8">
        <v>1.0094000000000001</v>
      </c>
      <c r="P8">
        <v>1.4016999999999999</v>
      </c>
      <c r="Q8">
        <v>1.9801</v>
      </c>
      <c r="S8">
        <v>0.5</v>
      </c>
      <c r="T8">
        <v>-8.9999999999999998E-4</v>
      </c>
      <c r="U8">
        <v>-4.4999999999999997E-3</v>
      </c>
      <c r="V8">
        <v>-8.9999999999999993E-3</v>
      </c>
      <c r="W8">
        <v>-1.8100000000000002E-2</v>
      </c>
      <c r="X8">
        <v>-3.5999999999999997E-2</v>
      </c>
      <c r="Y8">
        <v>-5.3900000000000003E-2</v>
      </c>
      <c r="Z8">
        <v>-7.1599999999999997E-2</v>
      </c>
      <c r="AA8">
        <v>-8.9300000000000004E-2</v>
      </c>
      <c r="AB8">
        <v>-0.1069</v>
      </c>
      <c r="AC8">
        <v>-0.13300000000000001</v>
      </c>
      <c r="AD8">
        <v>-0.1762</v>
      </c>
      <c r="AE8">
        <v>-0.2611</v>
      </c>
      <c r="AF8">
        <v>-0.42530000000000001</v>
      </c>
      <c r="AG8">
        <v>-0.58309999999999995</v>
      </c>
      <c r="AH8">
        <v>-0.80989999999999995</v>
      </c>
    </row>
    <row r="9" spans="2:34" x14ac:dyDescent="0.25">
      <c r="B9">
        <v>0.55000000000000004</v>
      </c>
      <c r="C9">
        <v>0.98040000000000005</v>
      </c>
      <c r="D9">
        <v>9.7999999999999997E-3</v>
      </c>
      <c r="E9">
        <v>1.95E-2</v>
      </c>
      <c r="F9">
        <v>3.9E-2</v>
      </c>
      <c r="G9">
        <v>7.7799999999999994E-2</v>
      </c>
      <c r="H9">
        <v>0.1166</v>
      </c>
      <c r="I9">
        <v>0.15529999999999999</v>
      </c>
      <c r="J9">
        <v>0.19389999999999999</v>
      </c>
      <c r="K9">
        <v>0.23230000000000001</v>
      </c>
      <c r="L9">
        <v>0.28989999999999999</v>
      </c>
      <c r="M9">
        <v>0.38529999999999998</v>
      </c>
      <c r="N9">
        <v>0.57469999999999999</v>
      </c>
      <c r="O9">
        <v>0.94750000000000001</v>
      </c>
      <c r="P9">
        <v>1.3137000000000001</v>
      </c>
      <c r="Q9">
        <v>1.8520000000000001</v>
      </c>
      <c r="S9">
        <v>0.55000000000000004</v>
      </c>
      <c r="T9">
        <v>-3.1399999999999997E-2</v>
      </c>
      <c r="U9">
        <v>-4.3E-3</v>
      </c>
      <c r="V9">
        <v>-8.6E-3</v>
      </c>
      <c r="W9">
        <v>-1.72E-2</v>
      </c>
      <c r="X9">
        <v>-3.4299999999999997E-2</v>
      </c>
      <c r="Y9">
        <v>-5.1299999999999998E-2</v>
      </c>
      <c r="Z9">
        <v>-6.8199999999999997E-2</v>
      </c>
      <c r="AA9">
        <v>-8.4900000000000003E-2</v>
      </c>
      <c r="AB9">
        <v>-0.10150000000000001</v>
      </c>
      <c r="AC9">
        <v>-0.1263</v>
      </c>
      <c r="AD9">
        <v>-0.16689999999999999</v>
      </c>
      <c r="AE9">
        <v>-0.2465</v>
      </c>
      <c r="AF9">
        <v>-0.39910000000000001</v>
      </c>
      <c r="AG9">
        <v>-0.54459999999999997</v>
      </c>
      <c r="AH9">
        <v>-0.75209999999999999</v>
      </c>
    </row>
    <row r="10" spans="2:34" x14ac:dyDescent="0.25">
      <c r="B10">
        <v>0.6</v>
      </c>
      <c r="C10">
        <v>0.9849</v>
      </c>
      <c r="D10">
        <v>9.2999999999999992E-3</v>
      </c>
      <c r="E10">
        <v>1.8599999999999998E-2</v>
      </c>
      <c r="F10">
        <v>3.7100000000000001E-2</v>
      </c>
      <c r="G10">
        <v>7.4099999999999999E-2</v>
      </c>
      <c r="H10">
        <v>0.1109</v>
      </c>
      <c r="I10">
        <v>0.14760000000000001</v>
      </c>
      <c r="J10">
        <v>0.1842</v>
      </c>
      <c r="K10">
        <v>0.22070000000000001</v>
      </c>
      <c r="L10">
        <v>0.27529999999999999</v>
      </c>
      <c r="M10">
        <v>0.36570000000000003</v>
      </c>
      <c r="N10">
        <v>0.54459999999999997</v>
      </c>
      <c r="O10">
        <v>0.89590000000000003</v>
      </c>
      <c r="P10">
        <v>1.2398</v>
      </c>
      <c r="Q10">
        <v>1.744</v>
      </c>
      <c r="S10">
        <v>0.6</v>
      </c>
      <c r="T10">
        <v>-2.0500000000000001E-2</v>
      </c>
      <c r="U10">
        <v>-4.1000000000000003E-3</v>
      </c>
      <c r="V10">
        <v>-8.2000000000000007E-3</v>
      </c>
      <c r="W10">
        <v>-1.6400000000000001E-2</v>
      </c>
      <c r="X10">
        <v>-3.2599999999999997E-2</v>
      </c>
      <c r="Y10">
        <v>-4.87E-2</v>
      </c>
      <c r="Z10">
        <v>-6.4600000000000005E-2</v>
      </c>
      <c r="AA10">
        <v>-8.0299999999999996E-2</v>
      </c>
      <c r="AB10">
        <v>-9.6000000000000002E-2</v>
      </c>
      <c r="AC10">
        <v>-0.1192</v>
      </c>
      <c r="AD10">
        <v>-0.15720000000000001</v>
      </c>
      <c r="AE10">
        <v>-0.23119999999999999</v>
      </c>
      <c r="AF10">
        <v>-0.37180000000000002</v>
      </c>
      <c r="AG10">
        <v>-0.50470000000000004</v>
      </c>
      <c r="AH10">
        <v>-0.69279999999999997</v>
      </c>
    </row>
    <row r="11" spans="2:34" x14ac:dyDescent="0.25">
      <c r="B11">
        <v>0.65</v>
      </c>
      <c r="C11">
        <v>0.98809999999999998</v>
      </c>
      <c r="D11">
        <v>0.93769999999999998</v>
      </c>
      <c r="E11">
        <v>1.78E-2</v>
      </c>
      <c r="F11">
        <v>3.56E-2</v>
      </c>
      <c r="G11">
        <v>7.0999999999999994E-2</v>
      </c>
      <c r="H11">
        <v>0.10630000000000001</v>
      </c>
      <c r="I11">
        <v>0.14149999999999999</v>
      </c>
      <c r="J11">
        <v>0.17649999999999999</v>
      </c>
      <c r="K11">
        <v>0.21129999999999999</v>
      </c>
      <c r="L11">
        <v>0.26340000000000002</v>
      </c>
      <c r="M11">
        <v>0.34949999999999998</v>
      </c>
      <c r="N11">
        <v>0.51970000000000005</v>
      </c>
      <c r="O11">
        <v>0.85260000000000002</v>
      </c>
      <c r="P11">
        <v>1.1773</v>
      </c>
      <c r="Q11">
        <v>1.6518999999999999</v>
      </c>
      <c r="S11">
        <v>0.65</v>
      </c>
      <c r="T11">
        <v>-1.37E-2</v>
      </c>
      <c r="U11">
        <v>-7.7200000000000005E-2</v>
      </c>
      <c r="V11">
        <v>-7.7999999999999996E-3</v>
      </c>
      <c r="W11">
        <v>-1.5599999999999999E-2</v>
      </c>
      <c r="X11">
        <v>-3.09E-2</v>
      </c>
      <c r="Y11">
        <v>-4.6100000000000002E-2</v>
      </c>
      <c r="Z11">
        <v>-6.1100000000000002E-2</v>
      </c>
      <c r="AA11">
        <v>-7.5899999999999995E-2</v>
      </c>
      <c r="AB11">
        <v>-9.06E-2</v>
      </c>
      <c r="AC11">
        <v>-0.11219999999999999</v>
      </c>
      <c r="AD11">
        <v>-0.14760000000000001</v>
      </c>
      <c r="AE11">
        <v>-0.216</v>
      </c>
      <c r="AF11">
        <v>-0.34470000000000001</v>
      </c>
      <c r="AG11">
        <v>-0.46529999999999999</v>
      </c>
      <c r="AH11">
        <v>-0.63460000000000005</v>
      </c>
    </row>
    <row r="12" spans="2:34" x14ac:dyDescent="0.25">
      <c r="B12">
        <v>0.7</v>
      </c>
      <c r="C12">
        <v>0.99039999999999995</v>
      </c>
      <c r="D12">
        <v>0.95040000000000002</v>
      </c>
      <c r="E12">
        <v>0.89580000000000004</v>
      </c>
      <c r="F12">
        <v>3.44E-2</v>
      </c>
      <c r="G12">
        <v>6.8699999999999997E-2</v>
      </c>
      <c r="H12">
        <v>0.1027</v>
      </c>
      <c r="I12">
        <v>0.1366</v>
      </c>
      <c r="J12">
        <v>0.17030000000000001</v>
      </c>
      <c r="K12">
        <v>0.20380000000000001</v>
      </c>
      <c r="L12">
        <v>0.25380000000000003</v>
      </c>
      <c r="M12">
        <v>0.33639999999999998</v>
      </c>
      <c r="N12">
        <v>0.49909999999999999</v>
      </c>
      <c r="O12">
        <v>0.81610000000000005</v>
      </c>
      <c r="P12">
        <v>1.1341000000000001</v>
      </c>
      <c r="Q12">
        <v>1.5729</v>
      </c>
      <c r="S12">
        <v>0.7</v>
      </c>
      <c r="T12">
        <v>-9.2999999999999992E-3</v>
      </c>
      <c r="U12">
        <v>-5.0700000000000002E-2</v>
      </c>
      <c r="V12">
        <v>-0.11609999999999999</v>
      </c>
      <c r="W12">
        <v>-1.4800000000000001E-2</v>
      </c>
      <c r="X12">
        <v>-2.9399999999999999E-2</v>
      </c>
      <c r="Y12">
        <v>-4.3799999999999999E-2</v>
      </c>
      <c r="Z12">
        <v>-5.79E-2</v>
      </c>
      <c r="AA12">
        <v>-7.1800000000000003E-2</v>
      </c>
      <c r="AB12">
        <v>-8.5500000000000007E-2</v>
      </c>
      <c r="AC12">
        <v>-0.1057</v>
      </c>
      <c r="AD12">
        <v>-0.13850000000000001</v>
      </c>
      <c r="AE12">
        <v>-0.20130000000000001</v>
      </c>
      <c r="AF12">
        <v>-0.31840000000000002</v>
      </c>
      <c r="AG12">
        <v>-0.42699999999999999</v>
      </c>
      <c r="AH12">
        <v>-0.57850000000000001</v>
      </c>
    </row>
    <row r="13" spans="2:34" x14ac:dyDescent="0.25">
      <c r="B13">
        <v>0.75</v>
      </c>
      <c r="C13">
        <v>0.99219999999999997</v>
      </c>
      <c r="D13">
        <v>0.95979999999999999</v>
      </c>
      <c r="E13">
        <v>0.91649999999999998</v>
      </c>
      <c r="F13">
        <v>3.3599999999999998E-2</v>
      </c>
      <c r="G13">
        <v>6.7000000000000004E-2</v>
      </c>
      <c r="H13">
        <v>0.10009999999999999</v>
      </c>
      <c r="I13">
        <v>0.13300000000000001</v>
      </c>
      <c r="J13">
        <v>0.1656</v>
      </c>
      <c r="K13">
        <v>0.1981</v>
      </c>
      <c r="L13">
        <v>0.24640000000000001</v>
      </c>
      <c r="M13">
        <v>0.32600000000000001</v>
      </c>
      <c r="N13">
        <v>0.48230000000000001</v>
      </c>
      <c r="O13">
        <v>0.78539999999999999</v>
      </c>
      <c r="P13">
        <v>1.0787</v>
      </c>
      <c r="Q13">
        <v>1.5046999999999999</v>
      </c>
      <c r="S13">
        <v>0.75</v>
      </c>
      <c r="T13">
        <v>-6.4000000000000003E-3</v>
      </c>
      <c r="U13">
        <v>-3.39E-2</v>
      </c>
      <c r="V13">
        <v>-7.4399999999999994E-2</v>
      </c>
      <c r="W13">
        <v>-1.43E-2</v>
      </c>
      <c r="X13">
        <v>-2.8199999999999999E-2</v>
      </c>
      <c r="Y13">
        <v>-4.1700000000000001E-2</v>
      </c>
      <c r="Z13">
        <v>-5.5E-2</v>
      </c>
      <c r="AA13">
        <v>-6.8099999999999994E-2</v>
      </c>
      <c r="AB13">
        <v>-8.0799999999999997E-2</v>
      </c>
      <c r="AC13">
        <v>-9.9599999999999994E-2</v>
      </c>
      <c r="AD13">
        <v>-0.1298</v>
      </c>
      <c r="AE13">
        <v>-0.18720000000000001</v>
      </c>
      <c r="AF13">
        <v>-0.29289999999999999</v>
      </c>
      <c r="AG13">
        <v>-0.3901</v>
      </c>
      <c r="AH13">
        <v>-0.52500000000000002</v>
      </c>
    </row>
    <row r="14" spans="2:34" x14ac:dyDescent="0.25">
      <c r="B14">
        <v>0.8</v>
      </c>
      <c r="C14">
        <v>0.99350000000000005</v>
      </c>
      <c r="D14">
        <v>0.96689999999999998</v>
      </c>
      <c r="E14">
        <v>0.93189999999999995</v>
      </c>
      <c r="F14">
        <v>0.85389999999999999</v>
      </c>
      <c r="G14">
        <v>6.6100000000000006E-2</v>
      </c>
      <c r="H14">
        <v>9.8500000000000004E-2</v>
      </c>
      <c r="I14">
        <v>0.13070000000000001</v>
      </c>
      <c r="J14">
        <v>0.16259999999999999</v>
      </c>
      <c r="K14">
        <v>0.19420000000000001</v>
      </c>
      <c r="L14">
        <v>0.24110000000000001</v>
      </c>
      <c r="M14">
        <v>0.31819999999999998</v>
      </c>
      <c r="N14">
        <v>0.46899999999999997</v>
      </c>
      <c r="O14">
        <v>0.75980000000000003</v>
      </c>
      <c r="P14">
        <v>1.04</v>
      </c>
      <c r="Q14">
        <v>1.4456</v>
      </c>
      <c r="S14">
        <v>0.8</v>
      </c>
      <c r="T14">
        <v>-4.4000000000000003E-3</v>
      </c>
      <c r="U14">
        <v>-2.2800000000000001E-2</v>
      </c>
      <c r="V14">
        <v>-4.87E-2</v>
      </c>
      <c r="W14">
        <v>-0.11600000000000001</v>
      </c>
      <c r="X14">
        <v>-2.7199999999999998E-2</v>
      </c>
      <c r="Y14">
        <v>-4.0099999999999997E-2</v>
      </c>
      <c r="Z14">
        <v>-5.2600000000000001E-2</v>
      </c>
      <c r="AA14">
        <v>-6.4799999999999996E-2</v>
      </c>
      <c r="AB14">
        <v>-7.6700000000000004E-2</v>
      </c>
      <c r="AC14">
        <v>-9.4E-2</v>
      </c>
      <c r="AD14">
        <v>-0.1217</v>
      </c>
      <c r="AE14">
        <v>-0.1736</v>
      </c>
      <c r="AF14">
        <v>-0.26819999999999999</v>
      </c>
      <c r="AG14">
        <v>-0.35449999999999998</v>
      </c>
      <c r="AH14">
        <v>-0.47399999999999998</v>
      </c>
    </row>
    <row r="15" spans="2:34" x14ac:dyDescent="0.25">
      <c r="B15">
        <v>0.85</v>
      </c>
      <c r="C15">
        <v>0.99460000000000004</v>
      </c>
      <c r="D15">
        <v>0.97250000000000003</v>
      </c>
      <c r="E15">
        <v>0.94359999999999999</v>
      </c>
      <c r="F15">
        <v>0.88100000000000001</v>
      </c>
      <c r="G15">
        <v>6.6100000000000006E-2</v>
      </c>
      <c r="H15">
        <v>9.8299999999999998E-2</v>
      </c>
      <c r="I15">
        <v>0.13009999999999999</v>
      </c>
      <c r="J15">
        <v>0.16139999999999999</v>
      </c>
      <c r="K15">
        <v>0.19239999999999999</v>
      </c>
      <c r="L15">
        <v>0.2382</v>
      </c>
      <c r="M15">
        <v>0.31319999999999998</v>
      </c>
      <c r="N15">
        <v>0.45910000000000001</v>
      </c>
      <c r="O15">
        <v>0.73880000000000001</v>
      </c>
      <c r="P15">
        <v>1.0071000000000001</v>
      </c>
      <c r="Q15">
        <v>1.3943000000000001</v>
      </c>
      <c r="S15">
        <v>0.85</v>
      </c>
      <c r="T15">
        <v>-2.8999999999999998E-3</v>
      </c>
      <c r="U15">
        <v>-1.52E-2</v>
      </c>
      <c r="V15">
        <v>-3.1899999999999998E-2</v>
      </c>
      <c r="W15">
        <v>-7.1499999999999994E-2</v>
      </c>
      <c r="X15">
        <v>-2.6800000000000001E-2</v>
      </c>
      <c r="Y15">
        <v>-3.9100000000000003E-2</v>
      </c>
      <c r="Z15">
        <v>-5.0900000000000001E-2</v>
      </c>
      <c r="AA15">
        <v>-6.2199999999999998E-2</v>
      </c>
      <c r="AB15">
        <v>-7.3099999999999998E-2</v>
      </c>
      <c r="AC15">
        <v>-8.8800000000000004E-2</v>
      </c>
      <c r="AD15">
        <v>-0.1138</v>
      </c>
      <c r="AE15">
        <v>-0.16020000000000001</v>
      </c>
      <c r="AF15">
        <v>-0.24390000000000001</v>
      </c>
      <c r="AG15">
        <v>-0.3201</v>
      </c>
      <c r="AH15">
        <v>-0.4254</v>
      </c>
    </row>
    <row r="16" spans="2:34" x14ac:dyDescent="0.25">
      <c r="B16">
        <v>0.9</v>
      </c>
      <c r="C16">
        <v>0.99539999999999995</v>
      </c>
      <c r="D16">
        <v>0.9768</v>
      </c>
      <c r="E16">
        <v>0.95279999999999998</v>
      </c>
      <c r="F16">
        <v>0.90149999999999997</v>
      </c>
      <c r="G16">
        <v>0.78</v>
      </c>
      <c r="H16">
        <v>0.10059999999999999</v>
      </c>
      <c r="I16">
        <v>0.1321</v>
      </c>
      <c r="J16">
        <v>0.16300000000000001</v>
      </c>
      <c r="K16">
        <v>0.19350000000000001</v>
      </c>
      <c r="L16">
        <v>0.23830000000000001</v>
      </c>
      <c r="M16">
        <v>0.31140000000000001</v>
      </c>
      <c r="N16">
        <v>0.45269999999999999</v>
      </c>
      <c r="O16">
        <v>0.72199999999999998</v>
      </c>
      <c r="P16">
        <v>0.97929999999999995</v>
      </c>
      <c r="Q16">
        <v>1.3495999999999999</v>
      </c>
      <c r="S16">
        <v>0.9</v>
      </c>
      <c r="T16">
        <v>-1.9E-3</v>
      </c>
      <c r="U16">
        <v>-9.9000000000000008E-3</v>
      </c>
      <c r="V16">
        <v>-2.0500000000000001E-2</v>
      </c>
      <c r="W16">
        <v>-4.4200000000000003E-2</v>
      </c>
      <c r="X16">
        <v>-0.1118</v>
      </c>
      <c r="Y16">
        <v>-3.9600000000000003E-2</v>
      </c>
      <c r="Z16">
        <v>-5.0299999999999997E-2</v>
      </c>
      <c r="AA16">
        <v>-6.0400000000000002E-2</v>
      </c>
      <c r="AB16">
        <v>-7.0099999999999996E-2</v>
      </c>
      <c r="AC16">
        <v>-8.4000000000000005E-2</v>
      </c>
      <c r="AD16">
        <v>-0.10589999999999999</v>
      </c>
      <c r="AE16">
        <v>-0.14630000000000001</v>
      </c>
      <c r="AF16">
        <v>-0.2195</v>
      </c>
      <c r="AG16">
        <v>-0.28620000000000001</v>
      </c>
      <c r="AH16">
        <v>-0.37880000000000003</v>
      </c>
    </row>
    <row r="17" spans="2:34" x14ac:dyDescent="0.25">
      <c r="B17">
        <v>0.93</v>
      </c>
      <c r="C17">
        <v>0.99590000000000001</v>
      </c>
      <c r="D17">
        <v>0.97899999999999998</v>
      </c>
      <c r="E17">
        <v>0.95730000000000004</v>
      </c>
      <c r="F17">
        <v>0.91149999999999998</v>
      </c>
      <c r="G17">
        <v>0.80589999999999995</v>
      </c>
      <c r="H17">
        <v>0.66349999999999998</v>
      </c>
      <c r="I17">
        <v>0.13589999999999999</v>
      </c>
      <c r="J17">
        <v>0.16639999999999999</v>
      </c>
      <c r="K17">
        <v>0.1963</v>
      </c>
      <c r="L17">
        <v>0.24049999999999999</v>
      </c>
      <c r="M17">
        <v>0.31219999999999998</v>
      </c>
      <c r="N17">
        <v>0.45069999999999999</v>
      </c>
      <c r="O17">
        <v>0.71379999999999999</v>
      </c>
      <c r="P17">
        <v>0.96479999999999999</v>
      </c>
      <c r="Q17">
        <v>1.3257000000000001</v>
      </c>
      <c r="S17">
        <v>0.93</v>
      </c>
      <c r="T17">
        <v>-1.5E-3</v>
      </c>
      <c r="U17">
        <v>-7.4999999999999997E-3</v>
      </c>
      <c r="V17">
        <v>-1.54E-2</v>
      </c>
      <c r="W17">
        <v>-3.2599999999999997E-2</v>
      </c>
      <c r="X17">
        <v>-7.6300000000000007E-2</v>
      </c>
      <c r="Y17">
        <v>-0.16619999999999999</v>
      </c>
      <c r="Z17">
        <v>-5.1400000000000001E-2</v>
      </c>
      <c r="AA17">
        <v>-6.0199999999999997E-2</v>
      </c>
      <c r="AB17">
        <v>-6.8699999999999997E-2</v>
      </c>
      <c r="AC17">
        <v>-8.1000000000000003E-2</v>
      </c>
      <c r="AD17">
        <v>-0.1007</v>
      </c>
      <c r="AE17">
        <v>-0.13739999999999999</v>
      </c>
      <c r="AF17">
        <v>-0.20449999999999999</v>
      </c>
      <c r="AG17">
        <v>-0.2661</v>
      </c>
      <c r="AH17">
        <v>-0.35160000000000002</v>
      </c>
    </row>
    <row r="18" spans="2:34" x14ac:dyDescent="0.25">
      <c r="B18">
        <v>0.95</v>
      </c>
      <c r="C18">
        <v>0.99609999999999999</v>
      </c>
      <c r="D18">
        <v>0.98029999999999995</v>
      </c>
      <c r="E18">
        <v>0.96</v>
      </c>
      <c r="F18">
        <v>0.91739999999999999</v>
      </c>
      <c r="G18">
        <v>0.8206</v>
      </c>
      <c r="H18">
        <v>0.69669999999999999</v>
      </c>
      <c r="I18">
        <v>0.14099999999999999</v>
      </c>
      <c r="J18">
        <v>0.17050000000000001</v>
      </c>
      <c r="K18">
        <v>0.19980000000000001</v>
      </c>
      <c r="L18">
        <v>0.2432</v>
      </c>
      <c r="M18">
        <v>0.31380000000000002</v>
      </c>
      <c r="N18">
        <v>0.4501</v>
      </c>
      <c r="O18">
        <v>0.70920000000000005</v>
      </c>
      <c r="P18">
        <v>0.95609999999999995</v>
      </c>
      <c r="Q18">
        <v>1.3108</v>
      </c>
      <c r="S18">
        <v>0.95</v>
      </c>
      <c r="T18">
        <v>-1.1999999999999999E-3</v>
      </c>
      <c r="U18">
        <v>-6.1999999999999998E-3</v>
      </c>
      <c r="V18">
        <v>-1.26E-2</v>
      </c>
      <c r="W18">
        <v>-2.6200000000000001E-2</v>
      </c>
      <c r="X18">
        <v>-5.8900000000000001E-2</v>
      </c>
      <c r="Y18">
        <v>-0.111</v>
      </c>
      <c r="Z18">
        <v>-5.3999999999999999E-2</v>
      </c>
      <c r="AA18">
        <v>-6.0699999999999997E-2</v>
      </c>
      <c r="AB18">
        <v>-6.7799999999999999E-2</v>
      </c>
      <c r="AC18">
        <v>-7.8799999999999995E-2</v>
      </c>
      <c r="AD18">
        <v>-9.6699999999999994E-2</v>
      </c>
      <c r="AE18">
        <v>-0.13100000000000001</v>
      </c>
      <c r="AF18">
        <v>-0.1943</v>
      </c>
      <c r="AG18">
        <v>-0.25259999999999999</v>
      </c>
      <c r="AH18">
        <v>-0.33389999999999997</v>
      </c>
    </row>
    <row r="19" spans="2:34" x14ac:dyDescent="0.25">
      <c r="B19">
        <v>0.97</v>
      </c>
      <c r="C19">
        <v>0.99629999999999996</v>
      </c>
      <c r="D19">
        <v>0.98150000000000004</v>
      </c>
      <c r="E19">
        <v>0.96250000000000002</v>
      </c>
      <c r="F19">
        <v>0.92269999999999996</v>
      </c>
      <c r="G19">
        <v>0.83379999999999999</v>
      </c>
      <c r="H19">
        <v>0.72399999999999998</v>
      </c>
      <c r="I19">
        <v>0.55800000000000005</v>
      </c>
      <c r="J19">
        <v>0.1779</v>
      </c>
      <c r="K19">
        <v>0.20549999999999999</v>
      </c>
      <c r="L19">
        <v>0.24740000000000001</v>
      </c>
      <c r="M19">
        <v>0.31640000000000001</v>
      </c>
      <c r="N19">
        <v>0.45040000000000002</v>
      </c>
      <c r="O19">
        <v>0.70520000000000005</v>
      </c>
      <c r="P19">
        <v>0.94799999999999995</v>
      </c>
      <c r="Q19">
        <v>1.2968</v>
      </c>
      <c r="S19">
        <v>0.97</v>
      </c>
      <c r="T19">
        <v>-1E-3</v>
      </c>
      <c r="U19">
        <v>-5.0000000000000001E-3</v>
      </c>
      <c r="V19">
        <v>-1.01E-2</v>
      </c>
      <c r="W19">
        <v>-2.0799999999999999E-2</v>
      </c>
      <c r="X19">
        <v>-4.4999999999999998E-2</v>
      </c>
      <c r="Y19">
        <v>-7.6999999999999999E-2</v>
      </c>
      <c r="Z19">
        <v>-0.16470000000000001</v>
      </c>
      <c r="AA19">
        <v>-6.2300000000000001E-2</v>
      </c>
      <c r="AB19">
        <v>-6.6900000000000001E-2</v>
      </c>
      <c r="AC19">
        <v>-7.5899999999999995E-2</v>
      </c>
      <c r="AD19">
        <v>-9.2100000000000001E-2</v>
      </c>
      <c r="AE19">
        <v>-0.124</v>
      </c>
      <c r="AF19">
        <v>-0.1837</v>
      </c>
      <c r="AG19">
        <v>-0.23910000000000001</v>
      </c>
      <c r="AH19">
        <v>-0.31630000000000003</v>
      </c>
    </row>
    <row r="20" spans="2:34" x14ac:dyDescent="0.25">
      <c r="B20">
        <v>0.98</v>
      </c>
      <c r="C20">
        <v>0.99650000000000005</v>
      </c>
      <c r="D20">
        <v>0.98209999999999997</v>
      </c>
      <c r="E20">
        <v>0.9637</v>
      </c>
      <c r="F20">
        <v>0.92530000000000001</v>
      </c>
      <c r="G20">
        <v>0.83979999999999999</v>
      </c>
      <c r="H20">
        <v>0.73599999999999999</v>
      </c>
      <c r="I20">
        <v>0.5887</v>
      </c>
      <c r="J20">
        <v>0.18440000000000001</v>
      </c>
      <c r="K20">
        <v>0.2097</v>
      </c>
      <c r="L20">
        <v>0.25030000000000002</v>
      </c>
      <c r="M20">
        <v>0.31819999999999998</v>
      </c>
      <c r="N20">
        <v>0.45079999999999998</v>
      </c>
      <c r="O20">
        <v>0.70350000000000001</v>
      </c>
      <c r="P20">
        <v>0.94420000000000004</v>
      </c>
      <c r="Q20">
        <v>1.2901</v>
      </c>
      <c r="S20">
        <v>0.98</v>
      </c>
      <c r="T20">
        <v>-8.9999999999999998E-4</v>
      </c>
      <c r="U20">
        <v>-4.0000000000000001E-3</v>
      </c>
      <c r="V20">
        <v>-8.9999999999999993E-3</v>
      </c>
      <c r="W20">
        <v>-1.84E-2</v>
      </c>
      <c r="X20">
        <v>-3.9E-2</v>
      </c>
      <c r="Y20">
        <v>-6.4100000000000004E-2</v>
      </c>
      <c r="Z20">
        <v>-0.11</v>
      </c>
      <c r="AA20">
        <v>-6.4100000000000004E-2</v>
      </c>
      <c r="AB20">
        <v>-6.6100000000000006E-2</v>
      </c>
      <c r="AC20">
        <v>-7.3999999999999996E-2</v>
      </c>
      <c r="AD20">
        <v>-8.9300000000000004E-2</v>
      </c>
      <c r="AE20">
        <v>-0.1202</v>
      </c>
      <c r="AF20">
        <v>-0.17829999999999999</v>
      </c>
      <c r="AG20">
        <v>-0.23219999999999999</v>
      </c>
      <c r="AH20">
        <v>-0.3075</v>
      </c>
    </row>
    <row r="21" spans="2:34" x14ac:dyDescent="0.25">
      <c r="B21">
        <v>0.99</v>
      </c>
      <c r="C21">
        <v>0.99660000000000004</v>
      </c>
      <c r="D21">
        <v>0.98260000000000003</v>
      </c>
      <c r="E21">
        <v>0.96479999999999999</v>
      </c>
      <c r="F21">
        <v>0.92769999999999997</v>
      </c>
      <c r="G21">
        <v>0.84550000000000003</v>
      </c>
      <c r="H21">
        <v>0.74709999999999999</v>
      </c>
      <c r="I21">
        <v>0.61380000000000001</v>
      </c>
      <c r="J21">
        <v>0.19589999999999999</v>
      </c>
      <c r="K21">
        <v>0.21540000000000001</v>
      </c>
      <c r="L21">
        <v>0.25380000000000003</v>
      </c>
      <c r="M21">
        <v>0.32040000000000002</v>
      </c>
      <c r="N21">
        <v>0.45140000000000002</v>
      </c>
      <c r="O21">
        <v>0.70179999999999998</v>
      </c>
      <c r="P21">
        <v>0.94059999999999999</v>
      </c>
      <c r="Q21">
        <v>1.2835000000000001</v>
      </c>
      <c r="S21">
        <v>0.99</v>
      </c>
      <c r="T21">
        <v>-8.0000000000000004E-4</v>
      </c>
      <c r="U21">
        <v>-3.8999999999999998E-3</v>
      </c>
      <c r="V21">
        <v>-7.9000000000000008E-3</v>
      </c>
      <c r="W21">
        <v>-1.61E-2</v>
      </c>
      <c r="X21">
        <v>-3.3500000000000002E-2</v>
      </c>
      <c r="Y21">
        <v>-5.3100000000000001E-2</v>
      </c>
      <c r="Z21">
        <v>-7.9600000000000004E-2</v>
      </c>
      <c r="AA21">
        <v>-6.8000000000000005E-2</v>
      </c>
      <c r="AB21">
        <v>-6.4600000000000005E-2</v>
      </c>
      <c r="AC21">
        <v>-7.1499999999999994E-2</v>
      </c>
      <c r="AD21">
        <v>-8.6099999999999996E-2</v>
      </c>
      <c r="AE21">
        <v>-0.1162</v>
      </c>
      <c r="AF21">
        <v>-0.17280000000000001</v>
      </c>
      <c r="AG21">
        <v>-0.22539999999999999</v>
      </c>
      <c r="AH21">
        <v>-0.2989</v>
      </c>
    </row>
    <row r="22" spans="2:34" x14ac:dyDescent="0.25">
      <c r="B22">
        <v>1</v>
      </c>
      <c r="C22">
        <v>0.99670000000000003</v>
      </c>
      <c r="D22">
        <v>0.98319999999999996</v>
      </c>
      <c r="E22">
        <v>0.96589999999999998</v>
      </c>
      <c r="F22">
        <v>0.93</v>
      </c>
      <c r="G22">
        <v>0.85089999999999999</v>
      </c>
      <c r="H22">
        <v>0.75739999999999996</v>
      </c>
      <c r="I22">
        <v>0.63549999999999995</v>
      </c>
      <c r="J22">
        <v>0.29010000000000002</v>
      </c>
      <c r="K22">
        <v>0.22370000000000001</v>
      </c>
      <c r="L22">
        <v>0.25829999999999997</v>
      </c>
      <c r="M22">
        <v>0.32290000000000002</v>
      </c>
      <c r="N22">
        <v>0.45219999999999999</v>
      </c>
      <c r="O22">
        <v>0.70040000000000002</v>
      </c>
      <c r="P22">
        <v>0.93720000000000003</v>
      </c>
      <c r="Q22">
        <v>1.2771999999999999</v>
      </c>
      <c r="S22">
        <v>1</v>
      </c>
      <c r="T22">
        <v>-6.9999999999999999E-4</v>
      </c>
      <c r="U22">
        <v>-3.3999999999999998E-3</v>
      </c>
      <c r="V22">
        <v>-6.8999999999999999E-3</v>
      </c>
      <c r="W22">
        <v>-1.4E-2</v>
      </c>
      <c r="X22">
        <v>-2.8500000000000001E-2</v>
      </c>
      <c r="Y22">
        <v>-4.3499999999999997E-2</v>
      </c>
      <c r="Z22">
        <v>-5.8799999999999998E-2</v>
      </c>
      <c r="AA22">
        <v>-8.7900000000000006E-2</v>
      </c>
      <c r="AB22">
        <v>-6.0900000000000003E-2</v>
      </c>
      <c r="AC22">
        <v>-6.7799999999999999E-2</v>
      </c>
      <c r="AD22">
        <v>-8.2400000000000001E-2</v>
      </c>
      <c r="AE22">
        <v>-0.1118</v>
      </c>
      <c r="AF22">
        <v>-0.16719999999999999</v>
      </c>
      <c r="AG22">
        <v>-0.2185</v>
      </c>
      <c r="AH22">
        <v>-0.28999999999999998</v>
      </c>
    </row>
    <row r="23" spans="2:34" x14ac:dyDescent="0.25">
      <c r="B23">
        <v>1.01</v>
      </c>
      <c r="C23">
        <v>0.99680000000000002</v>
      </c>
      <c r="D23">
        <v>0.98370000000000002</v>
      </c>
      <c r="E23">
        <v>0.96689999999999998</v>
      </c>
      <c r="F23">
        <v>0.93220000000000003</v>
      </c>
      <c r="G23">
        <v>0.85609999999999997</v>
      </c>
      <c r="H23">
        <v>0.7671</v>
      </c>
      <c r="I23">
        <v>0.6542</v>
      </c>
      <c r="J23">
        <v>0.46479999999999999</v>
      </c>
      <c r="K23">
        <v>0.23699999999999999</v>
      </c>
      <c r="L23">
        <v>0.26400000000000001</v>
      </c>
      <c r="M23">
        <v>0.32600000000000001</v>
      </c>
      <c r="N23">
        <v>0.45329999999999998</v>
      </c>
      <c r="O23">
        <v>0.69910000000000005</v>
      </c>
      <c r="P23">
        <v>0.93389999999999995</v>
      </c>
      <c r="Q23">
        <v>1.2709999999999999</v>
      </c>
      <c r="S23">
        <v>1.01</v>
      </c>
      <c r="T23">
        <v>-5.9999999999999995E-4</v>
      </c>
      <c r="U23">
        <v>-3.0000000000000001E-3</v>
      </c>
      <c r="V23">
        <v>-6.0000000000000001E-3</v>
      </c>
      <c r="W23">
        <v>-1.2E-2</v>
      </c>
      <c r="X23">
        <v>-2.4E-2</v>
      </c>
      <c r="Y23">
        <v>-3.5099999999999999E-2</v>
      </c>
      <c r="Z23">
        <v>-4.2900000000000001E-2</v>
      </c>
      <c r="AA23">
        <v>-2.23E-2</v>
      </c>
      <c r="AB23">
        <v>-4.7300000000000002E-2</v>
      </c>
      <c r="AC23">
        <v>-6.2100000000000002E-2</v>
      </c>
      <c r="AD23">
        <v>-7.7799999999999994E-2</v>
      </c>
      <c r="AE23">
        <v>-0.1072</v>
      </c>
      <c r="AF23">
        <v>-0.1615</v>
      </c>
      <c r="AG23">
        <v>-0.21160000000000001</v>
      </c>
      <c r="AH23">
        <v>-0.28160000000000002</v>
      </c>
    </row>
    <row r="24" spans="2:34" x14ac:dyDescent="0.25">
      <c r="B24">
        <v>1.02</v>
      </c>
      <c r="C24">
        <v>0.99690000000000001</v>
      </c>
      <c r="D24">
        <v>0.98419999999999996</v>
      </c>
      <c r="E24">
        <v>0.96789999999999998</v>
      </c>
      <c r="F24">
        <v>0.93430000000000002</v>
      </c>
      <c r="G24">
        <v>0.86099999999999999</v>
      </c>
      <c r="H24">
        <v>0.77610000000000001</v>
      </c>
      <c r="I24">
        <v>0.67100000000000004</v>
      </c>
      <c r="J24">
        <v>0.51459999999999995</v>
      </c>
      <c r="K24">
        <v>0.26290000000000002</v>
      </c>
      <c r="L24">
        <v>0.27150000000000002</v>
      </c>
      <c r="M24">
        <v>0.32969999999999999</v>
      </c>
      <c r="N24">
        <v>0.45469999999999999</v>
      </c>
      <c r="O24">
        <v>0.69799999999999995</v>
      </c>
      <c r="P24">
        <v>0.93069999999999997</v>
      </c>
      <c r="Q24">
        <v>1.2649999999999999</v>
      </c>
      <c r="S24">
        <v>1.02</v>
      </c>
      <c r="T24">
        <v>-5.0000000000000001E-4</v>
      </c>
      <c r="U24">
        <v>-2.5999999999999999E-3</v>
      </c>
      <c r="V24">
        <v>-5.1000000000000004E-3</v>
      </c>
      <c r="W24">
        <v>-1.0200000000000001E-2</v>
      </c>
      <c r="X24">
        <v>-1.9800000000000002E-2</v>
      </c>
      <c r="Y24">
        <v>-2.7699999999999999E-2</v>
      </c>
      <c r="Z24">
        <v>-3.0300000000000001E-2</v>
      </c>
      <c r="AA24">
        <v>-6.1999999999999998E-3</v>
      </c>
      <c r="AB24">
        <v>2.2700000000000001E-2</v>
      </c>
      <c r="AC24">
        <v>-5.2400000000000002E-2</v>
      </c>
      <c r="AD24">
        <v>-7.22E-2</v>
      </c>
      <c r="AE24">
        <v>-0.1021</v>
      </c>
      <c r="AF24">
        <v>-0.15559999999999999</v>
      </c>
      <c r="AG24">
        <v>-0.20469999999999999</v>
      </c>
      <c r="AH24">
        <v>-0.27310000000000001</v>
      </c>
    </row>
    <row r="25" spans="2:34" x14ac:dyDescent="0.25">
      <c r="B25">
        <v>1.05</v>
      </c>
      <c r="C25">
        <v>0.99709999999999999</v>
      </c>
      <c r="D25">
        <v>0.98550000000000004</v>
      </c>
      <c r="E25">
        <v>0.97070000000000001</v>
      </c>
      <c r="F25">
        <v>0.94010000000000005</v>
      </c>
      <c r="G25">
        <v>0.87429999999999997</v>
      </c>
      <c r="H25">
        <v>0.80020000000000002</v>
      </c>
      <c r="I25">
        <v>0.71299999999999997</v>
      </c>
      <c r="J25">
        <v>0.60260000000000002</v>
      </c>
      <c r="K25">
        <v>0.44369999999999998</v>
      </c>
      <c r="L25">
        <v>0.31309999999999999</v>
      </c>
      <c r="M25">
        <v>0.34520000000000001</v>
      </c>
      <c r="N25">
        <v>0.46039999999999998</v>
      </c>
      <c r="O25">
        <v>0.6956</v>
      </c>
      <c r="P25">
        <v>0.92220000000000002</v>
      </c>
      <c r="Q25">
        <v>1.2481</v>
      </c>
      <c r="S25">
        <v>1.05</v>
      </c>
      <c r="T25">
        <v>-2.9999999999999997E-4</v>
      </c>
      <c r="U25">
        <v>-1.5E-3</v>
      </c>
      <c r="V25">
        <v>-2.8999999999999998E-3</v>
      </c>
      <c r="W25">
        <v>-5.4000000000000003E-3</v>
      </c>
      <c r="X25">
        <v>-9.1999999999999998E-3</v>
      </c>
      <c r="Y25">
        <v>-9.7000000000000003E-3</v>
      </c>
      <c r="Z25">
        <v>-3.2000000000000002E-3</v>
      </c>
      <c r="AA25">
        <v>2.1999999999999999E-2</v>
      </c>
      <c r="AB25">
        <v>0.10589999999999999</v>
      </c>
      <c r="AC25">
        <v>4.5100000000000001E-2</v>
      </c>
      <c r="AD25">
        <v>-4.3200000000000002E-2</v>
      </c>
      <c r="AE25">
        <v>-8.3799999999999999E-2</v>
      </c>
      <c r="AF25">
        <v>-0.13700000000000001</v>
      </c>
      <c r="AG25">
        <v>-0.1835</v>
      </c>
      <c r="AH25">
        <v>-0.24759999999999999</v>
      </c>
    </row>
    <row r="26" spans="2:34" x14ac:dyDescent="0.25">
      <c r="B26">
        <v>1.1000000000000001</v>
      </c>
      <c r="C26">
        <v>0.99750000000000005</v>
      </c>
      <c r="D26">
        <v>0.98740000000000006</v>
      </c>
      <c r="E26">
        <v>0.97470000000000001</v>
      </c>
      <c r="F26">
        <v>0.94850000000000001</v>
      </c>
      <c r="G26">
        <v>0.89300000000000002</v>
      </c>
      <c r="H26">
        <v>0.83230000000000004</v>
      </c>
      <c r="I26">
        <v>0.76490000000000002</v>
      </c>
      <c r="J26">
        <v>0.68799999999999994</v>
      </c>
      <c r="K26">
        <v>0.59840000000000004</v>
      </c>
      <c r="L26">
        <v>0.45800000000000002</v>
      </c>
      <c r="M26">
        <v>0.39529999999999998</v>
      </c>
      <c r="N26">
        <v>0.47699999999999998</v>
      </c>
      <c r="O26">
        <v>0.69499999999999995</v>
      </c>
      <c r="P26">
        <v>0.91100000000000003</v>
      </c>
      <c r="Q26">
        <v>1.2232000000000001</v>
      </c>
      <c r="S26">
        <v>1.1000000000000001</v>
      </c>
      <c r="T26">
        <v>0</v>
      </c>
      <c r="U26">
        <v>0</v>
      </c>
      <c r="V26">
        <v>1E-4</v>
      </c>
      <c r="W26">
        <v>6.9999999999999999E-4</v>
      </c>
      <c r="X26">
        <v>3.8E-3</v>
      </c>
      <c r="Y26">
        <v>1.06E-2</v>
      </c>
      <c r="Z26">
        <v>2.3599999999999999E-2</v>
      </c>
      <c r="AA26">
        <v>4.7600000000000003E-2</v>
      </c>
      <c r="AB26">
        <v>8.9700000000000002E-2</v>
      </c>
      <c r="AC26">
        <v>0.16300000000000001</v>
      </c>
      <c r="AD26">
        <v>6.9800000000000001E-2</v>
      </c>
      <c r="AE26">
        <v>-3.73E-2</v>
      </c>
      <c r="AF26">
        <v>-0.1021</v>
      </c>
      <c r="AG26">
        <v>-0.1469</v>
      </c>
      <c r="AH26">
        <v>-0.2056</v>
      </c>
    </row>
    <row r="27" spans="2:34" x14ac:dyDescent="0.25">
      <c r="B27">
        <v>1.1499999999999999</v>
      </c>
      <c r="C27">
        <v>0.99780000000000002</v>
      </c>
      <c r="D27">
        <v>0.98909999999999998</v>
      </c>
      <c r="E27">
        <v>0.97799999999999998</v>
      </c>
      <c r="F27">
        <v>0.95540000000000003</v>
      </c>
      <c r="G27">
        <v>0.90810000000000002</v>
      </c>
      <c r="H27">
        <v>0.85760000000000003</v>
      </c>
      <c r="I27">
        <v>0.80320000000000003</v>
      </c>
      <c r="J27">
        <v>0.74429999999999996</v>
      </c>
      <c r="K27">
        <v>0.68030000000000002</v>
      </c>
      <c r="L27">
        <v>0.57979999999999998</v>
      </c>
      <c r="M27">
        <v>0.47599999999999998</v>
      </c>
      <c r="N27">
        <v>0.50419999999999998</v>
      </c>
      <c r="O27">
        <v>0.69869999999999999</v>
      </c>
      <c r="P27">
        <v>0.90329999999999999</v>
      </c>
      <c r="Q27">
        <v>1.2020999999999999</v>
      </c>
      <c r="S27">
        <v>1.1499999999999999</v>
      </c>
      <c r="T27">
        <v>2.0000000000000001E-4</v>
      </c>
      <c r="U27">
        <v>1.1000000000000001E-3</v>
      </c>
      <c r="V27">
        <v>2.3E-3</v>
      </c>
      <c r="W27">
        <v>5.1999999999999998E-3</v>
      </c>
      <c r="X27">
        <v>1.2699999999999999E-2</v>
      </c>
      <c r="Y27">
        <v>2.3699999999999999E-2</v>
      </c>
      <c r="Z27">
        <v>3.9600000000000003E-2</v>
      </c>
      <c r="AA27">
        <v>6.25E-2</v>
      </c>
      <c r="AB27">
        <v>9.4299999999999995E-2</v>
      </c>
      <c r="AC27">
        <v>0.15479999999999999</v>
      </c>
      <c r="AD27">
        <v>0.16669999999999999</v>
      </c>
      <c r="AE27">
        <v>3.32E-2</v>
      </c>
      <c r="AF27">
        <v>-6.1100000000000002E-2</v>
      </c>
      <c r="AG27">
        <v>-0.1084</v>
      </c>
      <c r="AH27">
        <v>-0.16420000000000001</v>
      </c>
    </row>
    <row r="28" spans="2:34" x14ac:dyDescent="0.25">
      <c r="B28">
        <v>1.2</v>
      </c>
      <c r="C28">
        <v>0.99809999999999999</v>
      </c>
      <c r="D28">
        <v>0.99039999999999995</v>
      </c>
      <c r="E28">
        <v>0.98080000000000001</v>
      </c>
      <c r="F28">
        <v>0.96109999999999995</v>
      </c>
      <c r="G28">
        <v>0.92049999999999998</v>
      </c>
      <c r="H28">
        <v>0.87790000000000001</v>
      </c>
      <c r="I28">
        <v>0.83299999999999996</v>
      </c>
      <c r="J28">
        <v>0.78580000000000005</v>
      </c>
      <c r="K28">
        <v>0.73629999999999995</v>
      </c>
      <c r="L28">
        <v>0.66049999999999998</v>
      </c>
      <c r="M28">
        <v>0.5605</v>
      </c>
      <c r="N28">
        <v>0.54249999999999998</v>
      </c>
      <c r="O28">
        <v>0.70689999999999997</v>
      </c>
      <c r="P28">
        <v>0.89900000000000002</v>
      </c>
      <c r="Q28">
        <v>1.1843999999999999</v>
      </c>
      <c r="S28">
        <v>1.2</v>
      </c>
      <c r="T28">
        <v>4.0000000000000002E-4</v>
      </c>
      <c r="U28">
        <v>1.9E-3</v>
      </c>
      <c r="V28">
        <v>3.8999999999999998E-3</v>
      </c>
      <c r="W28">
        <v>8.3999999999999995E-3</v>
      </c>
      <c r="X28">
        <v>1.9E-2</v>
      </c>
      <c r="Y28">
        <v>3.2599999999999997E-2</v>
      </c>
      <c r="Z28">
        <v>4.99E-2</v>
      </c>
      <c r="AA28">
        <v>7.1900000000000006E-2</v>
      </c>
      <c r="AB28">
        <v>9.9099999999999994E-2</v>
      </c>
      <c r="AC28">
        <v>0.1477</v>
      </c>
      <c r="AD28">
        <v>0.19900000000000001</v>
      </c>
      <c r="AE28">
        <v>0.1095</v>
      </c>
      <c r="AF28">
        <v>-1.41E-2</v>
      </c>
      <c r="AG28">
        <v>-6.7799999999999999E-2</v>
      </c>
      <c r="AH28">
        <v>-0.1231</v>
      </c>
    </row>
    <row r="29" spans="2:34" x14ac:dyDescent="0.25">
      <c r="B29">
        <v>1.3</v>
      </c>
      <c r="C29">
        <v>0.99850000000000005</v>
      </c>
      <c r="D29">
        <v>0.99260000000000004</v>
      </c>
      <c r="E29">
        <v>0.98519999999999996</v>
      </c>
      <c r="F29">
        <v>0.97019999999999995</v>
      </c>
      <c r="G29">
        <v>0.93959999999999999</v>
      </c>
      <c r="H29">
        <v>0.9083</v>
      </c>
      <c r="I29">
        <v>0.87639999999999996</v>
      </c>
      <c r="J29">
        <v>0.84379999999999999</v>
      </c>
      <c r="K29">
        <v>0.81110000000000004</v>
      </c>
      <c r="L29">
        <v>0.76239999999999997</v>
      </c>
      <c r="M29">
        <v>0.69079999999999997</v>
      </c>
      <c r="N29">
        <v>0.63439999999999996</v>
      </c>
      <c r="O29">
        <v>0.73580000000000001</v>
      </c>
      <c r="P29">
        <v>0.89980000000000004</v>
      </c>
      <c r="Q29">
        <v>1.1579999999999999</v>
      </c>
      <c r="S29">
        <v>1.3</v>
      </c>
      <c r="T29">
        <v>5.9999999999999995E-4</v>
      </c>
      <c r="U29">
        <v>3.0000000000000001E-3</v>
      </c>
      <c r="V29">
        <v>6.1000000000000004E-3</v>
      </c>
      <c r="W29">
        <v>1.2500000000000001E-2</v>
      </c>
      <c r="X29">
        <v>2.6700000000000002E-2</v>
      </c>
      <c r="Y29">
        <v>4.2900000000000001E-2</v>
      </c>
      <c r="Z29">
        <v>6.1199999999999997E-2</v>
      </c>
      <c r="AA29">
        <v>8.1900000000000001E-2</v>
      </c>
      <c r="AB29">
        <v>0.1048</v>
      </c>
      <c r="AC29">
        <v>0.14199999999999999</v>
      </c>
      <c r="AD29">
        <v>0.1991</v>
      </c>
      <c r="AE29">
        <v>0.2079</v>
      </c>
      <c r="AF29">
        <v>8.7499999999999994E-2</v>
      </c>
      <c r="AG29">
        <v>1.7600000000000001E-2</v>
      </c>
      <c r="AH29">
        <v>-4.2299999999999997E-2</v>
      </c>
    </row>
    <row r="30" spans="2:34" x14ac:dyDescent="0.25">
      <c r="B30">
        <v>1.4</v>
      </c>
      <c r="C30">
        <v>0.99880000000000002</v>
      </c>
      <c r="D30">
        <v>0.99419999999999997</v>
      </c>
      <c r="E30">
        <v>0.98839999999999995</v>
      </c>
      <c r="F30">
        <v>0.9768</v>
      </c>
      <c r="G30">
        <v>0.95340000000000003</v>
      </c>
      <c r="H30">
        <v>0.92979999999999996</v>
      </c>
      <c r="I30">
        <v>0.90620000000000001</v>
      </c>
      <c r="J30">
        <v>0.88270000000000004</v>
      </c>
      <c r="K30">
        <v>0.85950000000000004</v>
      </c>
      <c r="L30">
        <v>0.8256</v>
      </c>
      <c r="M30">
        <v>0.77529999999999999</v>
      </c>
      <c r="N30">
        <v>0.72019999999999995</v>
      </c>
      <c r="O30">
        <v>0.77610000000000001</v>
      </c>
      <c r="P30">
        <v>0.91120000000000001</v>
      </c>
      <c r="Q30">
        <v>1.1418999999999999</v>
      </c>
      <c r="S30">
        <v>1.4</v>
      </c>
      <c r="T30">
        <v>6.9999999999999999E-4</v>
      </c>
      <c r="U30">
        <v>3.5999999999999999E-3</v>
      </c>
      <c r="V30">
        <v>7.1999999999999998E-3</v>
      </c>
      <c r="W30">
        <v>1.47E-2</v>
      </c>
      <c r="X30">
        <v>3.0599999999999999E-2</v>
      </c>
      <c r="Y30">
        <v>4.7699999999999999E-2</v>
      </c>
      <c r="Z30">
        <v>6.6100000000000006E-2</v>
      </c>
      <c r="AA30">
        <v>8.5699999999999998E-2</v>
      </c>
      <c r="AB30">
        <v>0.10630000000000001</v>
      </c>
      <c r="AC30">
        <v>0.13830000000000001</v>
      </c>
      <c r="AD30">
        <v>0.18940000000000001</v>
      </c>
      <c r="AE30">
        <v>0.2397</v>
      </c>
      <c r="AF30">
        <v>0.17369999999999999</v>
      </c>
      <c r="AG30">
        <v>0.1008</v>
      </c>
      <c r="AH30">
        <v>3.5000000000000003E-2</v>
      </c>
    </row>
    <row r="31" spans="2:34" x14ac:dyDescent="0.25">
      <c r="B31">
        <v>1.5</v>
      </c>
      <c r="C31">
        <v>0.99909999999999999</v>
      </c>
      <c r="D31">
        <v>0.99539999999999995</v>
      </c>
      <c r="E31">
        <v>0.9909</v>
      </c>
      <c r="F31">
        <v>0.98180000000000001</v>
      </c>
      <c r="G31">
        <v>0.96360000000000001</v>
      </c>
      <c r="H31">
        <v>0.9456</v>
      </c>
      <c r="I31">
        <v>0.92779999999999996</v>
      </c>
      <c r="J31">
        <v>0.9103</v>
      </c>
      <c r="K31">
        <v>0.89329999999999998</v>
      </c>
      <c r="L31">
        <v>0.86890000000000001</v>
      </c>
      <c r="M31">
        <v>0.83279999999999998</v>
      </c>
      <c r="N31">
        <v>0.78869999999999996</v>
      </c>
      <c r="O31">
        <v>0.82</v>
      </c>
      <c r="P31">
        <v>0.92969999999999997</v>
      </c>
      <c r="Q31">
        <v>1.1338999999999999</v>
      </c>
      <c r="S31">
        <v>1.5</v>
      </c>
      <c r="T31">
        <v>8.0000000000000004E-4</v>
      </c>
      <c r="U31">
        <v>3.8999999999999998E-3</v>
      </c>
      <c r="V31">
        <v>7.7999999999999996E-3</v>
      </c>
      <c r="W31">
        <v>1.5800000000000002E-2</v>
      </c>
      <c r="X31">
        <v>3.2300000000000002E-2</v>
      </c>
      <c r="Y31">
        <v>4.9700000000000001E-2</v>
      </c>
      <c r="Z31">
        <v>6.7699999999999996E-2</v>
      </c>
      <c r="AA31">
        <v>8.6400000000000005E-2</v>
      </c>
      <c r="AB31">
        <v>0.1055</v>
      </c>
      <c r="AC31">
        <v>0.13450000000000001</v>
      </c>
      <c r="AD31">
        <v>0.18060000000000001</v>
      </c>
      <c r="AE31">
        <v>0.24329999999999999</v>
      </c>
      <c r="AF31">
        <v>0.23089999999999999</v>
      </c>
      <c r="AG31">
        <v>0.17169999999999999</v>
      </c>
      <c r="AH31">
        <v>0.10580000000000001</v>
      </c>
    </row>
    <row r="32" spans="2:34" x14ac:dyDescent="0.25">
      <c r="B32">
        <v>1.6</v>
      </c>
      <c r="C32">
        <v>0.99929999999999997</v>
      </c>
      <c r="D32">
        <v>0.99639999999999995</v>
      </c>
      <c r="E32">
        <v>0.99280000000000002</v>
      </c>
      <c r="F32">
        <v>0.98560000000000003</v>
      </c>
      <c r="G32">
        <v>0.97140000000000004</v>
      </c>
      <c r="H32">
        <v>0.95750000000000002</v>
      </c>
      <c r="I32">
        <v>0.94389999999999996</v>
      </c>
      <c r="J32">
        <v>0.93079999999999996</v>
      </c>
      <c r="K32">
        <v>0.91800000000000004</v>
      </c>
      <c r="L32">
        <v>0.9</v>
      </c>
      <c r="M32">
        <v>0.87380000000000002</v>
      </c>
      <c r="N32">
        <v>0.84099999999999997</v>
      </c>
      <c r="O32">
        <v>0.86170000000000002</v>
      </c>
      <c r="P32">
        <v>0.95179999999999998</v>
      </c>
      <c r="Q32">
        <v>1.1319999999999999</v>
      </c>
      <c r="S32">
        <v>1.6</v>
      </c>
      <c r="T32">
        <v>8.0000000000000004E-4</v>
      </c>
      <c r="U32">
        <v>4.0000000000000001E-3</v>
      </c>
      <c r="V32">
        <v>8.0000000000000002E-3</v>
      </c>
      <c r="W32">
        <v>1.6199999999999999E-2</v>
      </c>
      <c r="X32">
        <v>3.3000000000000002E-2</v>
      </c>
      <c r="Y32">
        <v>5.0099999999999999E-2</v>
      </c>
      <c r="Z32">
        <v>6.7699999999999996E-2</v>
      </c>
      <c r="AA32">
        <v>8.5500000000000007E-2</v>
      </c>
      <c r="AB32">
        <v>0.10349999999999999</v>
      </c>
      <c r="AC32">
        <v>0.1303</v>
      </c>
      <c r="AD32">
        <v>0.1729</v>
      </c>
      <c r="AE32">
        <v>0.23810000000000001</v>
      </c>
      <c r="AF32">
        <v>0.2631</v>
      </c>
      <c r="AG32">
        <v>0.22550000000000001</v>
      </c>
      <c r="AH32">
        <v>0.1673</v>
      </c>
    </row>
    <row r="33" spans="2:34" x14ac:dyDescent="0.25">
      <c r="B33">
        <v>1.7</v>
      </c>
      <c r="C33">
        <v>0.99939999999999996</v>
      </c>
      <c r="D33">
        <v>0.99709999999999999</v>
      </c>
      <c r="E33">
        <v>0.99429999999999996</v>
      </c>
      <c r="F33">
        <v>0.98860000000000003</v>
      </c>
      <c r="G33">
        <v>0.97750000000000004</v>
      </c>
      <c r="H33">
        <v>0.9667</v>
      </c>
      <c r="I33">
        <v>0.95630000000000004</v>
      </c>
      <c r="J33">
        <v>0.94630000000000003</v>
      </c>
      <c r="K33">
        <v>0.93669999999999998</v>
      </c>
      <c r="L33">
        <v>0.9234</v>
      </c>
      <c r="M33">
        <v>0.90429999999999999</v>
      </c>
      <c r="N33">
        <v>0.88090000000000002</v>
      </c>
      <c r="O33">
        <v>0.89839999999999998</v>
      </c>
      <c r="P33">
        <v>0.97450000000000003</v>
      </c>
      <c r="Q33">
        <v>1.1343000000000001</v>
      </c>
      <c r="S33">
        <v>1.7</v>
      </c>
      <c r="T33">
        <v>8.0000000000000004E-4</v>
      </c>
      <c r="U33">
        <v>4.0000000000000001E-3</v>
      </c>
      <c r="V33">
        <v>8.0999999999999996E-3</v>
      </c>
      <c r="W33">
        <v>1.6299999999999999E-2</v>
      </c>
      <c r="X33">
        <v>3.2899999999999999E-2</v>
      </c>
      <c r="Y33">
        <v>4.9700000000000001E-2</v>
      </c>
      <c r="Z33">
        <v>6.6699999999999995E-2</v>
      </c>
      <c r="AA33">
        <v>8.3799999999999999E-2</v>
      </c>
      <c r="AB33">
        <v>0.1008</v>
      </c>
      <c r="AC33">
        <v>0.12590000000000001</v>
      </c>
      <c r="AD33">
        <v>0.1658</v>
      </c>
      <c r="AE33">
        <v>0.23050000000000001</v>
      </c>
      <c r="AF33">
        <v>0.27879999999999999</v>
      </c>
      <c r="AG33">
        <v>0.26279999999999998</v>
      </c>
      <c r="AH33">
        <v>0.21790000000000001</v>
      </c>
    </row>
    <row r="34" spans="2:34" x14ac:dyDescent="0.25">
      <c r="B34">
        <v>1.8</v>
      </c>
      <c r="C34">
        <v>0.99950000000000006</v>
      </c>
      <c r="D34">
        <v>0.99770000000000003</v>
      </c>
      <c r="E34">
        <v>0.99550000000000005</v>
      </c>
      <c r="F34">
        <v>0.99099999999999999</v>
      </c>
      <c r="G34">
        <v>0.98229999999999995</v>
      </c>
      <c r="H34">
        <v>0.97389999999999999</v>
      </c>
      <c r="I34">
        <v>0.96589999999999998</v>
      </c>
      <c r="J34">
        <v>0.95830000000000004</v>
      </c>
      <c r="K34">
        <v>0.95109999999999995</v>
      </c>
      <c r="L34">
        <v>0.94130000000000003</v>
      </c>
      <c r="M34">
        <v>0.92749999999999999</v>
      </c>
      <c r="N34">
        <v>0.91180000000000005</v>
      </c>
      <c r="O34">
        <v>0.92969999999999997</v>
      </c>
      <c r="P34">
        <v>0.99609999999999999</v>
      </c>
      <c r="Q34">
        <v>1.1391</v>
      </c>
      <c r="S34">
        <v>1.8</v>
      </c>
      <c r="T34">
        <v>8.0000000000000004E-4</v>
      </c>
      <c r="U34">
        <v>4.0000000000000001E-3</v>
      </c>
      <c r="V34">
        <v>8.0999999999999996E-3</v>
      </c>
      <c r="W34">
        <v>1.6199999999999999E-2</v>
      </c>
      <c r="X34">
        <v>3.2500000000000001E-2</v>
      </c>
      <c r="Y34">
        <v>4.8800000000000003E-2</v>
      </c>
      <c r="Z34">
        <v>6.5199999999999994E-2</v>
      </c>
      <c r="AA34">
        <v>8.14E-2</v>
      </c>
      <c r="AB34">
        <v>9.7799999999999998E-2</v>
      </c>
      <c r="AC34">
        <v>0.1216</v>
      </c>
      <c r="AD34">
        <v>0.1593</v>
      </c>
      <c r="AE34">
        <v>0.22239999999999999</v>
      </c>
      <c r="AF34">
        <v>0.28460000000000002</v>
      </c>
      <c r="AG34">
        <v>0.28710000000000002</v>
      </c>
      <c r="AH34">
        <v>0.2576</v>
      </c>
    </row>
    <row r="35" spans="2:34" x14ac:dyDescent="0.25">
      <c r="B35">
        <v>1.9</v>
      </c>
      <c r="C35">
        <v>0.99960000000000004</v>
      </c>
      <c r="D35">
        <v>0.99819999999999998</v>
      </c>
      <c r="E35">
        <v>0.99639999999999995</v>
      </c>
      <c r="F35">
        <v>0.9929</v>
      </c>
      <c r="G35">
        <v>0.98609999999999998</v>
      </c>
      <c r="H35">
        <v>0.97960000000000003</v>
      </c>
      <c r="I35">
        <v>0.97350000000000003</v>
      </c>
      <c r="J35">
        <v>0.96779999999999999</v>
      </c>
      <c r="K35">
        <v>0.96240000000000003</v>
      </c>
      <c r="L35">
        <v>0.95520000000000005</v>
      </c>
      <c r="M35">
        <v>0.9456</v>
      </c>
      <c r="N35">
        <v>0.93589999999999995</v>
      </c>
      <c r="O35">
        <v>0.95569999999999999</v>
      </c>
      <c r="P35">
        <v>1.0157</v>
      </c>
      <c r="Q35">
        <v>1.1452</v>
      </c>
      <c r="S35">
        <v>1.9</v>
      </c>
      <c r="T35">
        <v>8.0000000000000004E-4</v>
      </c>
      <c r="U35">
        <v>4.0000000000000001E-3</v>
      </c>
      <c r="V35">
        <v>7.9000000000000008E-3</v>
      </c>
      <c r="W35">
        <v>1.5900000000000001E-2</v>
      </c>
      <c r="X35">
        <v>3.1800000000000002E-2</v>
      </c>
      <c r="Y35">
        <v>4.7699999999999999E-2</v>
      </c>
      <c r="Z35">
        <v>6.3500000000000001E-2</v>
      </c>
      <c r="AA35">
        <v>7.9200000000000007E-2</v>
      </c>
      <c r="AB35">
        <v>9.4700000000000006E-2</v>
      </c>
      <c r="AC35">
        <v>0.1173</v>
      </c>
      <c r="AD35">
        <v>0.1532</v>
      </c>
      <c r="AE35">
        <v>0.21440000000000001</v>
      </c>
      <c r="AF35">
        <v>0.2848</v>
      </c>
      <c r="AG35">
        <v>0.30170000000000002</v>
      </c>
      <c r="AH35">
        <v>0.28760000000000002</v>
      </c>
    </row>
    <row r="36" spans="2:34" x14ac:dyDescent="0.25">
      <c r="B36">
        <v>2</v>
      </c>
      <c r="C36">
        <v>0.99970000000000003</v>
      </c>
      <c r="D36">
        <v>0.99860000000000004</v>
      </c>
      <c r="E36">
        <v>0.99719999999999998</v>
      </c>
      <c r="F36">
        <v>0.99439999999999995</v>
      </c>
      <c r="G36">
        <v>0.98919999999999997</v>
      </c>
      <c r="H36">
        <v>0.98419999999999996</v>
      </c>
      <c r="I36">
        <v>0.97960000000000003</v>
      </c>
      <c r="J36">
        <v>0.97540000000000004</v>
      </c>
      <c r="K36">
        <v>0.97150000000000003</v>
      </c>
      <c r="L36">
        <v>0.96640000000000004</v>
      </c>
      <c r="M36">
        <v>0.95989999999999998</v>
      </c>
      <c r="N36">
        <v>0.95499999999999996</v>
      </c>
      <c r="O36">
        <v>0.97719999999999996</v>
      </c>
      <c r="P36">
        <v>1.0327999999999999</v>
      </c>
      <c r="Q36">
        <v>1.1516</v>
      </c>
      <c r="S36">
        <v>2</v>
      </c>
      <c r="T36">
        <v>8.0000000000000004E-4</v>
      </c>
      <c r="U36">
        <v>3.8999999999999998E-3</v>
      </c>
      <c r="V36">
        <v>7.7999999999999996E-3</v>
      </c>
      <c r="W36">
        <v>1.55E-2</v>
      </c>
      <c r="X36">
        <v>3.1E-2</v>
      </c>
      <c r="Y36">
        <v>4.6399999999999997E-2</v>
      </c>
      <c r="Z36">
        <v>6.1699999999999998E-2</v>
      </c>
      <c r="AA36">
        <v>7.6700000000000004E-2</v>
      </c>
      <c r="AB36">
        <v>9.1600000000000001E-2</v>
      </c>
      <c r="AC36">
        <v>0.1133</v>
      </c>
      <c r="AD36">
        <v>0.14760000000000001</v>
      </c>
      <c r="AE36">
        <v>0.2069</v>
      </c>
      <c r="AF36">
        <v>0.28189999999999998</v>
      </c>
      <c r="AG36">
        <v>0.30969999999999998</v>
      </c>
      <c r="AH36">
        <v>0.30959999999999999</v>
      </c>
    </row>
    <row r="37" spans="2:34" x14ac:dyDescent="0.25">
      <c r="B37">
        <v>2.2000000000000002</v>
      </c>
      <c r="C37">
        <v>0.99980000000000002</v>
      </c>
      <c r="D37">
        <v>0.99919999999999998</v>
      </c>
      <c r="E37">
        <v>0.99829999999999997</v>
      </c>
      <c r="F37">
        <v>0.99670000000000003</v>
      </c>
      <c r="G37">
        <v>0.99370000000000003</v>
      </c>
      <c r="H37">
        <v>0.99099999999999999</v>
      </c>
      <c r="I37">
        <v>0.98860000000000003</v>
      </c>
      <c r="J37">
        <v>0.98650000000000004</v>
      </c>
      <c r="K37">
        <v>0.98470000000000002</v>
      </c>
      <c r="L37">
        <v>0.98260000000000003</v>
      </c>
      <c r="M37">
        <v>0.98060000000000003</v>
      </c>
      <c r="N37">
        <v>0.98270000000000002</v>
      </c>
      <c r="O37">
        <v>1.0094000000000001</v>
      </c>
      <c r="P37">
        <v>1.06</v>
      </c>
      <c r="Q37">
        <v>1.1635</v>
      </c>
      <c r="S37">
        <v>2.2000000000000002</v>
      </c>
      <c r="T37">
        <v>6.9999999999999999E-4</v>
      </c>
      <c r="U37">
        <v>3.7000000000000002E-3</v>
      </c>
      <c r="V37">
        <v>7.4000000000000003E-3</v>
      </c>
      <c r="W37">
        <v>1.47E-2</v>
      </c>
      <c r="X37">
        <v>2.93E-2</v>
      </c>
      <c r="Y37">
        <v>4.3700000000000003E-2</v>
      </c>
      <c r="Z37">
        <v>5.79E-2</v>
      </c>
      <c r="AA37">
        <v>7.1900000000000006E-2</v>
      </c>
      <c r="AB37">
        <v>8.5699999999999998E-2</v>
      </c>
      <c r="AC37">
        <v>0.1057</v>
      </c>
      <c r="AD37">
        <v>0.13739999999999999</v>
      </c>
      <c r="AE37">
        <v>0.19320000000000001</v>
      </c>
      <c r="AF37">
        <v>0.27200000000000002</v>
      </c>
      <c r="AG37">
        <v>0.3135</v>
      </c>
      <c r="AH37">
        <v>0.33550000000000002</v>
      </c>
    </row>
    <row r="38" spans="2:34" x14ac:dyDescent="0.25">
      <c r="B38">
        <v>2.4</v>
      </c>
      <c r="C38">
        <v>0.99990000000000001</v>
      </c>
      <c r="D38">
        <v>0.99960000000000004</v>
      </c>
      <c r="E38">
        <v>0.99909999999999999</v>
      </c>
      <c r="F38">
        <v>0.99829999999999997</v>
      </c>
      <c r="G38">
        <v>0.99690000000000001</v>
      </c>
      <c r="H38">
        <v>0.99570000000000003</v>
      </c>
      <c r="I38">
        <v>0.99480000000000002</v>
      </c>
      <c r="J38">
        <v>0.99409999999999998</v>
      </c>
      <c r="K38">
        <v>0.99360000000000004</v>
      </c>
      <c r="L38">
        <v>0.99350000000000005</v>
      </c>
      <c r="M38">
        <v>0.99450000000000005</v>
      </c>
      <c r="N38">
        <v>1.0011000000000001</v>
      </c>
      <c r="O38">
        <v>1.0313000000000001</v>
      </c>
      <c r="P38">
        <v>1.0792999999999999</v>
      </c>
      <c r="Q38">
        <v>1.1728000000000001</v>
      </c>
      <c r="S38">
        <v>2.4</v>
      </c>
      <c r="T38">
        <v>6.9999999999999999E-4</v>
      </c>
      <c r="U38">
        <v>3.5000000000000001E-3</v>
      </c>
      <c r="V38">
        <v>7.0000000000000001E-3</v>
      </c>
      <c r="W38">
        <v>1.3899999999999999E-2</v>
      </c>
      <c r="X38">
        <v>2.76E-2</v>
      </c>
      <c r="Y38">
        <v>4.1099999999999998E-2</v>
      </c>
      <c r="Z38">
        <v>5.4399999999999997E-2</v>
      </c>
      <c r="AA38">
        <v>6.7500000000000004E-2</v>
      </c>
      <c r="AB38">
        <v>8.0299999999999996E-2</v>
      </c>
      <c r="AC38">
        <v>9.8900000000000002E-2</v>
      </c>
      <c r="AD38">
        <v>0.1285</v>
      </c>
      <c r="AE38">
        <v>0.1812</v>
      </c>
      <c r="AF38">
        <v>0.26019999999999999</v>
      </c>
      <c r="AG38">
        <v>0.30890000000000001</v>
      </c>
      <c r="AH38">
        <v>0.34589999999999999</v>
      </c>
    </row>
    <row r="39" spans="2:34" x14ac:dyDescent="0.25">
      <c r="B39">
        <v>2.6</v>
      </c>
      <c r="C39">
        <v>1</v>
      </c>
      <c r="D39">
        <v>0.99980000000000002</v>
      </c>
      <c r="E39">
        <v>0.99970000000000003</v>
      </c>
      <c r="F39">
        <v>0.99939999999999996</v>
      </c>
      <c r="G39">
        <v>0.99909999999999999</v>
      </c>
      <c r="H39">
        <v>0.999</v>
      </c>
      <c r="I39">
        <v>0.999</v>
      </c>
      <c r="J39">
        <v>0.99929999999999997</v>
      </c>
      <c r="K39">
        <v>0.99980000000000002</v>
      </c>
      <c r="L39">
        <v>1.0009999999999999</v>
      </c>
      <c r="M39">
        <v>1.004</v>
      </c>
      <c r="N39">
        <v>1.0137</v>
      </c>
      <c r="O39">
        <v>1.0463</v>
      </c>
      <c r="P39">
        <v>1.0926</v>
      </c>
      <c r="Q39">
        <v>1.1792</v>
      </c>
      <c r="S39">
        <v>2.6</v>
      </c>
      <c r="T39">
        <v>6.9999999999999999E-4</v>
      </c>
      <c r="U39">
        <v>3.3E-3</v>
      </c>
      <c r="V39">
        <v>6.6E-3</v>
      </c>
      <c r="W39">
        <v>1.3100000000000001E-2</v>
      </c>
      <c r="X39">
        <v>2.5999999999999999E-2</v>
      </c>
      <c r="Y39">
        <v>3.8699999999999998E-2</v>
      </c>
      <c r="Z39">
        <v>5.1200000000000002E-2</v>
      </c>
      <c r="AA39">
        <v>6.3399999999999998E-2</v>
      </c>
      <c r="AB39">
        <v>7.5399999999999995E-2</v>
      </c>
      <c r="AC39">
        <v>9.2899999999999996E-2</v>
      </c>
      <c r="AD39">
        <v>0.1207</v>
      </c>
      <c r="AE39">
        <v>0.1706</v>
      </c>
      <c r="AF39">
        <v>0.24840000000000001</v>
      </c>
      <c r="AG39">
        <v>0.3009</v>
      </c>
      <c r="AH39">
        <v>0.34749999999999998</v>
      </c>
    </row>
    <row r="40" spans="2:34" x14ac:dyDescent="0.25">
      <c r="B40">
        <v>2.8</v>
      </c>
      <c r="C40">
        <v>1</v>
      </c>
      <c r="D40">
        <v>1</v>
      </c>
      <c r="E40">
        <v>1.0001</v>
      </c>
      <c r="F40">
        <v>1.0002</v>
      </c>
      <c r="G40">
        <v>1.0006999999999999</v>
      </c>
      <c r="H40">
        <v>1.0013000000000001</v>
      </c>
      <c r="I40">
        <v>1.0021</v>
      </c>
      <c r="J40">
        <v>1.0031000000000001</v>
      </c>
      <c r="K40">
        <v>1.0042</v>
      </c>
      <c r="L40">
        <v>1.0063</v>
      </c>
      <c r="M40">
        <v>1.0105999999999999</v>
      </c>
      <c r="N40">
        <v>1.0223</v>
      </c>
      <c r="O40">
        <v>1.0565</v>
      </c>
      <c r="P40">
        <v>1.1015999999999999</v>
      </c>
      <c r="Q40">
        <v>1.1830000000000001</v>
      </c>
      <c r="S40">
        <v>2.8</v>
      </c>
      <c r="T40">
        <v>5.9999999999999995E-4</v>
      </c>
      <c r="U40">
        <v>3.0999999999999999E-3</v>
      </c>
      <c r="V40">
        <v>6.1999999999999998E-3</v>
      </c>
      <c r="W40">
        <v>1.24E-2</v>
      </c>
      <c r="X40">
        <v>2.4500000000000001E-2</v>
      </c>
      <c r="Y40">
        <v>3.6499999999999998E-2</v>
      </c>
      <c r="Z40">
        <v>4.8300000000000003E-2</v>
      </c>
      <c r="AA40">
        <v>5.9799999999999999E-2</v>
      </c>
      <c r="AB40">
        <v>7.1099999999999997E-2</v>
      </c>
      <c r="AC40">
        <v>8.7599999999999997E-2</v>
      </c>
      <c r="AD40">
        <v>0.1138</v>
      </c>
      <c r="AE40">
        <v>0.1613</v>
      </c>
      <c r="AF40">
        <v>0.23719999999999999</v>
      </c>
      <c r="AG40">
        <v>0.29149999999999998</v>
      </c>
      <c r="AH40">
        <v>0.34429999999999999</v>
      </c>
    </row>
    <row r="41" spans="2:34" x14ac:dyDescent="0.25">
      <c r="B41">
        <v>3</v>
      </c>
      <c r="C41">
        <v>1</v>
      </c>
      <c r="D41">
        <v>1.0002</v>
      </c>
      <c r="E41">
        <v>1.0004</v>
      </c>
      <c r="F41">
        <v>1.0007999999999999</v>
      </c>
      <c r="G41">
        <v>1.0018</v>
      </c>
      <c r="H41">
        <v>1.0029999999999999</v>
      </c>
      <c r="I41">
        <v>1.0043</v>
      </c>
      <c r="J41">
        <v>1.0057</v>
      </c>
      <c r="K41">
        <v>1.0074000000000001</v>
      </c>
      <c r="L41">
        <v>1.0101</v>
      </c>
      <c r="M41">
        <v>1.0153000000000001</v>
      </c>
      <c r="N41">
        <v>1.0284</v>
      </c>
      <c r="O41">
        <v>1.0634999999999999</v>
      </c>
      <c r="P41">
        <v>1.1074999999999999</v>
      </c>
      <c r="Q41">
        <v>1.1848000000000001</v>
      </c>
      <c r="S41">
        <v>3</v>
      </c>
      <c r="T41">
        <v>5.9999999999999995E-4</v>
      </c>
      <c r="U41">
        <v>2.8999999999999998E-3</v>
      </c>
      <c r="V41">
        <v>5.8999999999999999E-3</v>
      </c>
      <c r="W41">
        <v>1.17E-2</v>
      </c>
      <c r="X41">
        <v>2.3199999999999998E-2</v>
      </c>
      <c r="Y41">
        <v>3.4500000000000003E-2</v>
      </c>
      <c r="Z41">
        <v>4.5600000000000002E-2</v>
      </c>
      <c r="AA41">
        <v>5.6500000000000002E-2</v>
      </c>
      <c r="AB41">
        <v>6.7199999999999996E-2</v>
      </c>
      <c r="AC41">
        <v>8.2799999999999999E-2</v>
      </c>
      <c r="AD41">
        <v>0.1076</v>
      </c>
      <c r="AE41">
        <v>0.15290000000000001</v>
      </c>
      <c r="AF41">
        <v>0.2268</v>
      </c>
      <c r="AG41">
        <v>0.28170000000000001</v>
      </c>
      <c r="AH41">
        <v>0.33850000000000002</v>
      </c>
    </row>
    <row r="42" spans="2:34" x14ac:dyDescent="0.25">
      <c r="B42">
        <v>3.5</v>
      </c>
      <c r="C42">
        <v>1.0001</v>
      </c>
      <c r="D42">
        <v>1.0004</v>
      </c>
      <c r="E42">
        <v>1.0007999999999999</v>
      </c>
      <c r="F42">
        <v>1.0017</v>
      </c>
      <c r="G42">
        <v>1.0035000000000001</v>
      </c>
      <c r="H42">
        <v>1.0055000000000001</v>
      </c>
      <c r="I42">
        <v>1.0075000000000001</v>
      </c>
      <c r="J42">
        <v>1.0097</v>
      </c>
      <c r="K42">
        <v>1.012</v>
      </c>
      <c r="L42">
        <v>1.0156000000000001</v>
      </c>
      <c r="M42">
        <v>1.0221</v>
      </c>
      <c r="N42">
        <v>1.0367999999999999</v>
      </c>
      <c r="O42">
        <v>1.0723</v>
      </c>
      <c r="P42">
        <v>1.1137999999999999</v>
      </c>
      <c r="Q42">
        <v>1.1834</v>
      </c>
      <c r="S42">
        <v>3.5</v>
      </c>
      <c r="T42">
        <v>5.0000000000000001E-4</v>
      </c>
      <c r="U42">
        <v>2.5999999999999999E-3</v>
      </c>
      <c r="V42">
        <v>5.1999999999999998E-3</v>
      </c>
      <c r="W42">
        <v>1.03E-2</v>
      </c>
      <c r="X42">
        <v>2.0400000000000001E-2</v>
      </c>
      <c r="Y42">
        <v>3.0300000000000001E-2</v>
      </c>
      <c r="Z42">
        <v>4.0099999999999997E-2</v>
      </c>
      <c r="AA42">
        <v>4.9700000000000001E-2</v>
      </c>
      <c r="AB42">
        <v>5.91E-2</v>
      </c>
      <c r="AC42">
        <v>7.2800000000000004E-2</v>
      </c>
      <c r="AD42">
        <v>9.4899999999999998E-2</v>
      </c>
      <c r="AE42">
        <v>0.1356</v>
      </c>
      <c r="AF42">
        <v>0.20419999999999999</v>
      </c>
      <c r="AG42">
        <v>0.25840000000000002</v>
      </c>
      <c r="AH42">
        <v>0.31940000000000002</v>
      </c>
    </row>
    <row r="43" spans="2:34" x14ac:dyDescent="0.25">
      <c r="B43">
        <v>4</v>
      </c>
      <c r="C43">
        <v>1.0001</v>
      </c>
      <c r="D43">
        <v>1.0004999999999999</v>
      </c>
      <c r="E43">
        <v>1.0009999999999999</v>
      </c>
      <c r="F43">
        <v>1.0021</v>
      </c>
      <c r="G43">
        <v>1.0043</v>
      </c>
      <c r="H43">
        <v>1.0065999999999999</v>
      </c>
      <c r="I43">
        <v>1.0089999999999999</v>
      </c>
      <c r="J43">
        <v>1.0115000000000001</v>
      </c>
      <c r="K43">
        <v>1.014</v>
      </c>
      <c r="L43">
        <v>1.0179</v>
      </c>
      <c r="M43">
        <v>1.0248999999999999</v>
      </c>
      <c r="N43">
        <v>1.0401</v>
      </c>
      <c r="O43">
        <v>1.0747</v>
      </c>
      <c r="P43">
        <v>1.1135999999999999</v>
      </c>
      <c r="Q43">
        <v>1.1773</v>
      </c>
      <c r="S43">
        <v>4</v>
      </c>
      <c r="T43">
        <v>5.0000000000000001E-4</v>
      </c>
      <c r="U43">
        <v>2.3E-3</v>
      </c>
      <c r="V43">
        <v>4.5999999999999999E-3</v>
      </c>
      <c r="W43">
        <v>9.1000000000000004E-3</v>
      </c>
      <c r="X43">
        <v>1.8200000000000001E-2</v>
      </c>
      <c r="Y43">
        <v>2.7E-2</v>
      </c>
      <c r="Z43">
        <v>3.5700000000000003E-2</v>
      </c>
      <c r="AA43">
        <v>4.4299999999999999E-2</v>
      </c>
      <c r="AB43">
        <v>5.2699999999999997E-2</v>
      </c>
      <c r="AC43">
        <v>6.5100000000000005E-2</v>
      </c>
      <c r="AD43">
        <v>8.4900000000000003E-2</v>
      </c>
      <c r="AE43">
        <v>0.12189999999999999</v>
      </c>
      <c r="AF43">
        <v>0.1857</v>
      </c>
      <c r="AG43">
        <v>0.23780000000000001</v>
      </c>
      <c r="AH43">
        <v>0.2994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1:AH43"/>
  <sheetViews>
    <sheetView zoomScale="70" zoomScaleNormal="70" workbookViewId="0">
      <selection activeCell="T24" sqref="T24"/>
    </sheetView>
  </sheetViews>
  <sheetFormatPr defaultRowHeight="15" x14ac:dyDescent="0.25"/>
  <sheetData>
    <row r="1" spans="2:34" x14ac:dyDescent="0.25">
      <c r="C1" t="s">
        <v>241</v>
      </c>
      <c r="T1" t="s">
        <v>242</v>
      </c>
    </row>
    <row r="2" spans="2:34" x14ac:dyDescent="0.25">
      <c r="C2" t="s">
        <v>232</v>
      </c>
      <c r="T2" t="s">
        <v>232</v>
      </c>
    </row>
    <row r="3" spans="2:34" x14ac:dyDescent="0.25">
      <c r="B3" t="s">
        <v>244</v>
      </c>
      <c r="C3">
        <v>0.01</v>
      </c>
      <c r="D3">
        <v>0.05</v>
      </c>
      <c r="E3">
        <v>0.1</v>
      </c>
      <c r="F3">
        <v>0.2</v>
      </c>
      <c r="G3">
        <v>0.4</v>
      </c>
      <c r="H3">
        <v>0.6</v>
      </c>
      <c r="I3">
        <v>0.8</v>
      </c>
      <c r="J3">
        <v>1</v>
      </c>
      <c r="K3">
        <v>1.2</v>
      </c>
      <c r="L3">
        <v>1.5</v>
      </c>
      <c r="M3">
        <v>2</v>
      </c>
      <c r="N3">
        <v>3</v>
      </c>
      <c r="O3">
        <v>5</v>
      </c>
      <c r="P3">
        <v>7</v>
      </c>
      <c r="Q3">
        <v>10</v>
      </c>
      <c r="S3" t="s">
        <v>244</v>
      </c>
      <c r="T3">
        <v>0.01</v>
      </c>
      <c r="U3">
        <v>0.05</v>
      </c>
      <c r="V3">
        <v>0.1</v>
      </c>
      <c r="W3">
        <v>0.2</v>
      </c>
      <c r="X3">
        <v>0.4</v>
      </c>
      <c r="Y3">
        <v>0.6</v>
      </c>
      <c r="Z3">
        <v>0.8</v>
      </c>
      <c r="AA3">
        <v>1</v>
      </c>
      <c r="AB3">
        <v>1.2</v>
      </c>
      <c r="AC3">
        <v>1.5</v>
      </c>
      <c r="AD3">
        <v>2</v>
      </c>
      <c r="AE3">
        <v>3</v>
      </c>
      <c r="AF3">
        <v>5</v>
      </c>
      <c r="AG3">
        <v>7</v>
      </c>
      <c r="AH3">
        <v>10</v>
      </c>
    </row>
    <row r="4" spans="2:34" x14ac:dyDescent="0.25">
      <c r="B4">
        <v>0.3</v>
      </c>
      <c r="C4" s="17">
        <f>'LK data'!C4-Z0!C8</f>
        <v>2.8999999999999998E-3</v>
      </c>
      <c r="D4" s="17">
        <f>'LK data'!D4-Z0!D8</f>
        <v>1.4500000000000001E-2</v>
      </c>
      <c r="E4" s="17">
        <f>'LK data'!E4-Z0!E8</f>
        <v>2.9000000000000001E-2</v>
      </c>
      <c r="F4" s="17">
        <f>'LK data'!F4-Z0!F8</f>
        <v>5.79E-2</v>
      </c>
      <c r="G4" s="17">
        <f>'LK data'!G4-Z0!G8</f>
        <v>0.1158</v>
      </c>
      <c r="H4" s="17">
        <f>'LK data'!H4-Z0!H8</f>
        <v>0.17369999999999999</v>
      </c>
      <c r="I4" s="17">
        <f>'LK data'!I4-Z0!I8</f>
        <v>0.23150000000000001</v>
      </c>
      <c r="J4" s="17">
        <f>'LK data'!J4-Z0!J8</f>
        <v>0.28920000000000001</v>
      </c>
      <c r="K4" s="17">
        <f>'LK data'!K4-Z0!K8</f>
        <v>0.34789999999999999</v>
      </c>
      <c r="L4" s="17">
        <f>'LK data'!L4-Z0!L8</f>
        <v>0.4335</v>
      </c>
      <c r="M4" s="17">
        <f>'LK data'!M4-Z0!M8</f>
        <v>0.57750000000000001</v>
      </c>
      <c r="N4" s="17">
        <f>'LK data'!N4-Z0!N8</f>
        <v>0.86480000000000001</v>
      </c>
      <c r="O4" s="17">
        <f>'LK data'!O4-Z0!O8</f>
        <v>1.4366000000000001</v>
      </c>
      <c r="P4" s="17">
        <f>'LK data'!P4-Z0!P8</f>
        <v>2.0047999999999999</v>
      </c>
      <c r="Q4" s="17">
        <f>'LK data'!Q4-Z0!Q8</f>
        <v>2.8506999999999998</v>
      </c>
      <c r="S4">
        <v>0.3</v>
      </c>
      <c r="T4" s="17">
        <f>'LK data'!T4-'Z1'!C8</f>
        <v>-8.0000000000000004E-4</v>
      </c>
      <c r="U4" s="17">
        <f>'LK data'!U4-'Z1'!D8</f>
        <v>-4.0000000000000001E-3</v>
      </c>
      <c r="V4" s="17">
        <f>'LK data'!V4-'Z1'!E8</f>
        <v>-8.0999999999999996E-3</v>
      </c>
      <c r="W4" s="17">
        <f>'LK data'!W4-'Z1'!F8</f>
        <v>-1.61E-2</v>
      </c>
      <c r="X4" s="17">
        <f>'LK data'!X4-'Z1'!G8</f>
        <v>-3.2300000000000002E-2</v>
      </c>
      <c r="Y4" s="17">
        <f>'LK data'!Y4-'Z1'!H8</f>
        <v>-4.8399999999999999E-2</v>
      </c>
      <c r="Z4" s="17">
        <f>'LK data'!Z4-'Z1'!I8</f>
        <v>-6.4500000000000002E-2</v>
      </c>
      <c r="AA4" s="17">
        <f>'LK data'!AA4-'Z1'!J8</f>
        <v>-8.0600000000000005E-2</v>
      </c>
      <c r="AB4" s="17">
        <f>'LK data'!AB4-'Z1'!K8</f>
        <v>-9.6600000000000005E-2</v>
      </c>
      <c r="AC4" s="17">
        <f>'LK data'!AC4-'Z1'!L8</f>
        <v>-0.1207</v>
      </c>
      <c r="AD4" s="17">
        <f>'LK data'!AD4-'Z1'!M8</f>
        <v>-0.1608</v>
      </c>
      <c r="AE4" s="17">
        <f>'LK data'!AE4-'Z1'!N8</f>
        <v>-0.2407</v>
      </c>
      <c r="AF4" s="17">
        <f>'LK data'!AF4-'Z1'!O8</f>
        <v>-0.39960000000000001</v>
      </c>
      <c r="AG4" s="17">
        <f>'LK data'!AG4-'Z1'!P8</f>
        <v>-0.55720000000000003</v>
      </c>
      <c r="AH4" s="17">
        <f>'LK data'!AH4-'Z1'!Q8</f>
        <v>-0.79149999999999998</v>
      </c>
    </row>
    <row r="5" spans="2:34" x14ac:dyDescent="0.25">
      <c r="B5">
        <v>0.35</v>
      </c>
      <c r="C5" s="17">
        <f>'LK data'!C5-Z0!C9</f>
        <v>2.5999999999999999E-3</v>
      </c>
      <c r="D5" s="17">
        <f>'LK data'!D5-Z0!D9</f>
        <v>1.2999999999999999E-2</v>
      </c>
      <c r="E5" s="17">
        <f>'LK data'!E5-Z0!E9</f>
        <v>2.6100000000000002E-2</v>
      </c>
      <c r="F5" s="17">
        <f>'LK data'!F5-Z0!F9</f>
        <v>5.2200000000000003E-2</v>
      </c>
      <c r="G5" s="17">
        <f>'LK data'!G5-Z0!G9</f>
        <v>0.1043</v>
      </c>
      <c r="H5" s="17">
        <f>'LK data'!H5-Z0!H9</f>
        <v>0.15640000000000001</v>
      </c>
      <c r="I5" s="17">
        <f>'LK data'!I5-Z0!I9</f>
        <v>0.2084</v>
      </c>
      <c r="J5" s="17">
        <f>'LK data'!J5-Z0!J9</f>
        <v>0.26040000000000002</v>
      </c>
      <c r="K5" s="17">
        <f>'LK data'!K5-Z0!K9</f>
        <v>0.31230000000000002</v>
      </c>
      <c r="L5" s="17">
        <f>'LK data'!L5-Z0!L9</f>
        <v>0.3901</v>
      </c>
      <c r="M5" s="17">
        <f>'LK data'!M5-Z0!M9</f>
        <v>0.51949999999999996</v>
      </c>
      <c r="N5" s="17">
        <f>'LK data'!N5-Z0!N9</f>
        <v>0.77749999999999997</v>
      </c>
      <c r="O5" s="17">
        <f>'LK data'!O5-Z0!O9</f>
        <v>1.2902</v>
      </c>
      <c r="P5" s="17">
        <f>'LK data'!P5-Z0!P9</f>
        <v>1.7987</v>
      </c>
      <c r="Q5" s="17">
        <f>'LK data'!Q5-Z0!Q9</f>
        <v>2.5539000000000001</v>
      </c>
      <c r="S5">
        <v>0.35</v>
      </c>
      <c r="T5" s="17">
        <f>'LK data'!T5-'Z1'!C9</f>
        <v>-8.9999999999999998E-4</v>
      </c>
      <c r="U5" s="17">
        <f>'LK data'!U5-'Z1'!D9</f>
        <v>-4.5999999999999999E-3</v>
      </c>
      <c r="V5" s="17">
        <f>'LK data'!V5-'Z1'!E9</f>
        <v>-9.2999999999999992E-3</v>
      </c>
      <c r="W5" s="17">
        <f>'LK data'!W5-'Z1'!F9</f>
        <v>-1.8499999999999999E-2</v>
      </c>
      <c r="X5" s="17">
        <f>'LK data'!X5-'Z1'!G9</f>
        <v>-3.6999999999999998E-2</v>
      </c>
      <c r="Y5" s="17">
        <f>'LK data'!Y5-'Z1'!H9</f>
        <v>-5.5399999999999998E-2</v>
      </c>
      <c r="Z5" s="17">
        <f>'LK data'!Z5-'Z1'!I9</f>
        <v>-7.3800000000000004E-2</v>
      </c>
      <c r="AA5" s="17">
        <f>'LK data'!AA5-'Z1'!J9</f>
        <v>-9.2100000000000001E-2</v>
      </c>
      <c r="AB5" s="17">
        <f>'LK data'!AB5-'Z1'!K9</f>
        <v>-0.1105</v>
      </c>
      <c r="AC5" s="17">
        <f>'LK data'!AC5-'Z1'!L9</f>
        <v>-0.13789999999999999</v>
      </c>
      <c r="AD5" s="17">
        <f>'LK data'!AD5-'Z1'!M9</f>
        <v>-0.18340000000000001</v>
      </c>
      <c r="AE5" s="17">
        <f>'LK data'!AE5-'Z1'!N9</f>
        <v>-0.27379999999999999</v>
      </c>
      <c r="AF5" s="17">
        <f>'LK data'!AF5-'Z1'!O9</f>
        <v>-0.45229999999999998</v>
      </c>
      <c r="AG5" s="17">
        <f>'LK data'!AG5-'Z1'!P9</f>
        <v>-0.62790000000000001</v>
      </c>
      <c r="AH5" s="17">
        <f>'LK data'!AH5-'Z1'!Q9</f>
        <v>-0.88629999999999998</v>
      </c>
    </row>
    <row r="6" spans="2:34" x14ac:dyDescent="0.25">
      <c r="B6">
        <v>0.4</v>
      </c>
      <c r="C6" s="17">
        <f>'LK data'!C6-Z0!C10</f>
        <v>2.3999999999999998E-3</v>
      </c>
      <c r="D6" s="17">
        <f>'LK data'!D6-Z0!D10</f>
        <v>1.1900000000000001E-2</v>
      </c>
      <c r="E6" s="17">
        <f>'LK data'!E6-Z0!E10</f>
        <v>2.3900000000000001E-2</v>
      </c>
      <c r="F6" s="17">
        <f>'LK data'!F6-Z0!F10</f>
        <v>4.7699999999999999E-2</v>
      </c>
      <c r="G6" s="17">
        <f>'LK data'!G6-Z0!G10</f>
        <v>9.5299999999999996E-2</v>
      </c>
      <c r="H6" s="17">
        <f>'LK data'!H6-Z0!H10</f>
        <v>0.1429</v>
      </c>
      <c r="I6" s="17">
        <f>'LK data'!I6-Z0!I10</f>
        <v>0.19040000000000001</v>
      </c>
      <c r="J6" s="17">
        <f>'LK data'!J6-Z0!J10</f>
        <v>0.2379</v>
      </c>
      <c r="K6" s="17">
        <f>'LK data'!K6-Z0!K10</f>
        <v>0.2853</v>
      </c>
      <c r="L6" s="17">
        <f>'LK data'!L6-Z0!L10</f>
        <v>0.35630000000000001</v>
      </c>
      <c r="M6" s="17">
        <f>'LK data'!M6-Z0!M10</f>
        <v>0.47439999999999999</v>
      </c>
      <c r="N6" s="17">
        <f>'LK data'!N6-Z0!N10</f>
        <v>0.70950000000000002</v>
      </c>
      <c r="O6" s="17">
        <f>'LK data'!O6-Z0!O10</f>
        <v>1.1758</v>
      </c>
      <c r="P6" s="17">
        <f>'LK data'!P6-Z0!P10</f>
        <v>1.6373</v>
      </c>
      <c r="Q6" s="17">
        <f>'LK data'!Q6-Z0!Q10</f>
        <v>2.3210999999999999</v>
      </c>
      <c r="S6">
        <v>0.4</v>
      </c>
      <c r="T6" s="17">
        <f>'LK data'!T6-'Z1'!C10</f>
        <v>-1E-3</v>
      </c>
      <c r="U6" s="17">
        <f>'LK data'!U6-'Z1'!D10</f>
        <v>-4.7999999999999996E-3</v>
      </c>
      <c r="V6" s="17">
        <f>'LK data'!V6-'Z1'!E10</f>
        <v>-9.4999999999999998E-3</v>
      </c>
      <c r="W6" s="17">
        <f>'LK data'!W6-'Z1'!F10</f>
        <v>-1.9E-2</v>
      </c>
      <c r="X6" s="17">
        <f>'LK data'!X6-'Z1'!G10</f>
        <v>-3.7999999999999999E-2</v>
      </c>
      <c r="Y6" s="17">
        <f>'LK data'!Y6-'Z1'!H10</f>
        <v>-5.7000000000000002E-2</v>
      </c>
      <c r="Z6" s="17">
        <f>'LK data'!Z6-'Z1'!I10</f>
        <v>-7.5800000000000006E-2</v>
      </c>
      <c r="AA6" s="17">
        <f>'LK data'!AA6-'Z1'!J10</f>
        <v>-9.4600000000000004E-2</v>
      </c>
      <c r="AB6" s="17">
        <f>'LK data'!AB6-'Z1'!K10</f>
        <v>-0.1134</v>
      </c>
      <c r="AC6" s="17">
        <f>'LK data'!AC6-'Z1'!L10</f>
        <v>-0.1414</v>
      </c>
      <c r="AD6" s="17">
        <f>'LK data'!AD6-'Z1'!M10</f>
        <v>-0.18790000000000001</v>
      </c>
      <c r="AE6" s="17">
        <f>'LK data'!AE6-'Z1'!N10</f>
        <v>-0.27989999999999998</v>
      </c>
      <c r="AF6" s="17">
        <f>'LK data'!AF6-'Z1'!O10</f>
        <v>-0.46029999999999999</v>
      </c>
      <c r="AG6" s="17">
        <f>'LK data'!AG6-'Z1'!P10</f>
        <v>-0.63649999999999995</v>
      </c>
      <c r="AH6" s="17">
        <f>'LK data'!AH6-'Z1'!Q10</f>
        <v>-0.89359999999999995</v>
      </c>
    </row>
    <row r="7" spans="2:34" x14ac:dyDescent="0.25">
      <c r="B7">
        <v>0.45</v>
      </c>
      <c r="C7" s="17">
        <f>'LK data'!C7-Z0!C11</f>
        <v>2.2000000000000001E-3</v>
      </c>
      <c r="D7" s="17">
        <f>'LK data'!D7-Z0!D11</f>
        <v>1.0999999999999999E-2</v>
      </c>
      <c r="E7" s="17">
        <f>'LK data'!E7-Z0!E11</f>
        <v>2.2100000000000002E-2</v>
      </c>
      <c r="F7" s="17">
        <f>'LK data'!F7-Z0!F11</f>
        <v>4.4200000000000003E-2</v>
      </c>
      <c r="G7" s="17">
        <f>'LK data'!G7-Z0!G11</f>
        <v>8.8200000000000001E-2</v>
      </c>
      <c r="H7" s="17">
        <f>'LK data'!H7-Z0!H11</f>
        <v>0.13220000000000001</v>
      </c>
      <c r="I7" s="17">
        <f>'LK data'!I7-Z0!I11</f>
        <v>0.1762</v>
      </c>
      <c r="J7" s="17">
        <f>'LK data'!J7-Z0!J11</f>
        <v>0.22</v>
      </c>
      <c r="K7" s="17">
        <f>'LK data'!K7-Z0!K11</f>
        <v>0.26379999999999998</v>
      </c>
      <c r="L7" s="17">
        <f>'LK data'!L7-Z0!L11</f>
        <v>0.32940000000000003</v>
      </c>
      <c r="M7" s="17">
        <f>'LK data'!M7-Z0!M11</f>
        <v>0.43840000000000001</v>
      </c>
      <c r="N7" s="17">
        <f>'LK data'!N7-Z0!N11</f>
        <v>0.65510000000000002</v>
      </c>
      <c r="O7" s="17">
        <f>'LK data'!O7-Z0!O11</f>
        <v>1.0841000000000001</v>
      </c>
      <c r="P7" s="17">
        <f>'LK data'!P7-Z0!P11</f>
        <v>1.5077</v>
      </c>
      <c r="Q7" s="17">
        <f>'LK data'!Q7-Z0!Q11</f>
        <v>2.1337999999999999</v>
      </c>
      <c r="S7">
        <v>0.45</v>
      </c>
      <c r="T7" s="17">
        <f>'LK data'!T7-'Z1'!C11</f>
        <v>-8.9999999999999998E-4</v>
      </c>
      <c r="U7" s="17">
        <f>'LK data'!U7-'Z1'!D11</f>
        <v>-4.7000000000000002E-3</v>
      </c>
      <c r="V7" s="17">
        <f>'LK data'!V7-'Z1'!E11</f>
        <v>-9.4000000000000004E-3</v>
      </c>
      <c r="W7" s="17">
        <f>'LK data'!W7-'Z1'!F11</f>
        <v>-1.8700000000000001E-2</v>
      </c>
      <c r="X7" s="17">
        <f>'LK data'!X7-'Z1'!G11</f>
        <v>-3.7400000000000003E-2</v>
      </c>
      <c r="Y7" s="17">
        <f>'LK data'!Y7-'Z1'!H11</f>
        <v>-5.6000000000000001E-2</v>
      </c>
      <c r="Z7" s="17">
        <f>'LK data'!Z7-'Z1'!I11</f>
        <v>-7.4499999999999997E-2</v>
      </c>
      <c r="AA7" s="17">
        <f>'LK data'!AA7-'Z1'!J11</f>
        <v>-9.2899999999999996E-2</v>
      </c>
      <c r="AB7" s="17">
        <f>'LK data'!AB7-'Z1'!K11</f>
        <v>-0.1113</v>
      </c>
      <c r="AC7" s="17">
        <f>'LK data'!AC7-'Z1'!L11</f>
        <v>-0.13869999999999999</v>
      </c>
      <c r="AD7" s="17">
        <f>'LK data'!AD7-'Z1'!M11</f>
        <v>-0.184</v>
      </c>
      <c r="AE7" s="17">
        <f>'LK data'!AE7-'Z1'!N11</f>
        <v>-0.27339999999999998</v>
      </c>
      <c r="AF7" s="17">
        <f>'LK data'!AF7-'Z1'!O11</f>
        <v>-0.44750000000000001</v>
      </c>
      <c r="AG7" s="17">
        <f>'LK data'!AG7-'Z1'!P11</f>
        <v>-0.61619999999999997</v>
      </c>
      <c r="AH7" s="17">
        <f>'LK data'!AH7-'Z1'!Q11</f>
        <v>-0.86060000000000003</v>
      </c>
    </row>
    <row r="8" spans="2:34" x14ac:dyDescent="0.25">
      <c r="B8">
        <v>0.5</v>
      </c>
      <c r="C8" s="17">
        <f>'LK data'!C8-Z0!C12</f>
        <v>2.0999999999999999E-3</v>
      </c>
      <c r="D8" s="17">
        <f>'LK data'!D8-Z0!D12</f>
        <v>1.03E-2</v>
      </c>
      <c r="E8" s="17">
        <f>'LK data'!E8-Z0!E12</f>
        <v>2.07E-2</v>
      </c>
      <c r="F8" s="17">
        <f>'LK data'!F8-Z0!F12</f>
        <v>4.1300000000000003E-2</v>
      </c>
      <c r="G8" s="17">
        <f>'LK data'!G8-Z0!G12</f>
        <v>8.2500000000000004E-2</v>
      </c>
      <c r="H8" s="17">
        <f>'LK data'!H8-Z0!H12</f>
        <v>0.1236</v>
      </c>
      <c r="I8" s="17">
        <f>'LK data'!I8-Z0!I12</f>
        <v>0.16470000000000001</v>
      </c>
      <c r="J8" s="17">
        <f>'LK data'!J8-Z0!J12</f>
        <v>0.2056</v>
      </c>
      <c r="K8" s="17">
        <f>'LK data'!K8-Z0!K12</f>
        <v>0.2465</v>
      </c>
      <c r="L8" s="17">
        <f>'LK data'!L8-Z0!L12</f>
        <v>0.30769999999999997</v>
      </c>
      <c r="M8" s="17">
        <f>'LK data'!M8-Z0!M12</f>
        <v>0.40920000000000001</v>
      </c>
      <c r="N8" s="17">
        <f>'LK data'!N8-Z0!N12</f>
        <v>0.61099999999999999</v>
      </c>
      <c r="O8" s="17">
        <f>'LK data'!O8-Z0!O12</f>
        <v>1.0094000000000001</v>
      </c>
      <c r="P8" s="17">
        <f>'LK data'!P8-Z0!P12</f>
        <v>1.4016999999999999</v>
      </c>
      <c r="Q8" s="17">
        <f>'LK data'!Q8-Z0!Q12</f>
        <v>1.9801</v>
      </c>
      <c r="S8">
        <v>0.5</v>
      </c>
      <c r="T8" s="17">
        <f>'LK data'!T8-'Z1'!C12</f>
        <v>-8.9999999999999998E-4</v>
      </c>
      <c r="U8" s="17">
        <f>'LK data'!U8-'Z1'!D12</f>
        <v>-4.4999999999999997E-3</v>
      </c>
      <c r="V8" s="17">
        <f>'LK data'!V8-'Z1'!E12</f>
        <v>-8.9999999999999993E-3</v>
      </c>
      <c r="W8" s="17">
        <f>'LK data'!W8-'Z1'!F12</f>
        <v>-1.8100000000000002E-2</v>
      </c>
      <c r="X8" s="17">
        <f>'LK data'!X8-'Z1'!G12</f>
        <v>-3.5999999999999997E-2</v>
      </c>
      <c r="Y8" s="17">
        <f>'LK data'!Y8-'Z1'!H12</f>
        <v>-5.3900000000000003E-2</v>
      </c>
      <c r="Z8" s="17">
        <f>'LK data'!Z8-'Z1'!I12</f>
        <v>-7.1599999999999997E-2</v>
      </c>
      <c r="AA8" s="17">
        <f>'LK data'!AA8-'Z1'!J12</f>
        <v>-8.9300000000000004E-2</v>
      </c>
      <c r="AB8" s="17">
        <f>'LK data'!AB8-'Z1'!K12</f>
        <v>-0.1069</v>
      </c>
      <c r="AC8" s="17">
        <f>'LK data'!AC8-'Z1'!L12</f>
        <v>-0.13300000000000001</v>
      </c>
      <c r="AD8" s="17">
        <f>'LK data'!AD8-'Z1'!M12</f>
        <v>-0.1762</v>
      </c>
      <c r="AE8" s="17">
        <f>'LK data'!AE8-'Z1'!N12</f>
        <v>-0.2611</v>
      </c>
      <c r="AF8" s="17">
        <f>'LK data'!AF8-'Z1'!O12</f>
        <v>-0.42530000000000001</v>
      </c>
      <c r="AG8" s="17">
        <f>'LK data'!AG8-'Z1'!P12</f>
        <v>-0.58309999999999995</v>
      </c>
      <c r="AH8" s="17">
        <f>'LK data'!AH8-'Z1'!Q12</f>
        <v>-0.80989999999999995</v>
      </c>
    </row>
    <row r="9" spans="2:34" x14ac:dyDescent="0.25">
      <c r="B9">
        <v>0.55000000000000004</v>
      </c>
      <c r="C9" s="17">
        <f>'LK data'!C9-Z0!C13</f>
        <v>0.98040000000000005</v>
      </c>
      <c r="D9" s="17">
        <f>'LK data'!D9-Z0!D13</f>
        <v>9.7999999999999997E-3</v>
      </c>
      <c r="E9" s="17">
        <f>'LK data'!E9-Z0!E13</f>
        <v>1.95E-2</v>
      </c>
      <c r="F9" s="17">
        <f>'LK data'!F9-Z0!F13</f>
        <v>3.9E-2</v>
      </c>
      <c r="G9" s="17">
        <f>'LK data'!G9-Z0!G13</f>
        <v>7.7799999999999994E-2</v>
      </c>
      <c r="H9" s="17">
        <f>'LK data'!H9-Z0!H13</f>
        <v>0.1166</v>
      </c>
      <c r="I9" s="17">
        <f>'LK data'!I9-Z0!I13</f>
        <v>0.15529999999999999</v>
      </c>
      <c r="J9" s="17">
        <f>'LK data'!J9-Z0!J13</f>
        <v>0.19389999999999999</v>
      </c>
      <c r="K9" s="17">
        <f>'LK data'!K9-Z0!K13</f>
        <v>0.23230000000000001</v>
      </c>
      <c r="L9" s="17">
        <f>'LK data'!L9-Z0!L13</f>
        <v>0.28989999999999999</v>
      </c>
      <c r="M9" s="17">
        <f>'LK data'!M9-Z0!M13</f>
        <v>0.38529999999999998</v>
      </c>
      <c r="N9" s="17">
        <f>'LK data'!N9-Z0!N13</f>
        <v>0.57469999999999999</v>
      </c>
      <c r="O9" s="17">
        <f>'LK data'!O9-Z0!O13</f>
        <v>0.94750000000000001</v>
      </c>
      <c r="P9" s="17">
        <f>'LK data'!P9-Z0!P13</f>
        <v>1.3137000000000001</v>
      </c>
      <c r="Q9" s="17">
        <f>'LK data'!Q9-Z0!Q13</f>
        <v>1.8520000000000001</v>
      </c>
      <c r="S9">
        <v>0.55000000000000004</v>
      </c>
      <c r="T9" s="17">
        <f>'LK data'!T9-'Z1'!C13</f>
        <v>-3.1399999999999997E-2</v>
      </c>
      <c r="U9" s="17">
        <f>'LK data'!U9-'Z1'!D13</f>
        <v>-4.3E-3</v>
      </c>
      <c r="V9" s="17">
        <f>'LK data'!V9-'Z1'!E13</f>
        <v>-8.6E-3</v>
      </c>
      <c r="W9" s="17">
        <f>'LK data'!W9-'Z1'!F13</f>
        <v>-1.72E-2</v>
      </c>
      <c r="X9" s="17">
        <f>'LK data'!X9-'Z1'!G13</f>
        <v>-3.4299999999999997E-2</v>
      </c>
      <c r="Y9" s="17">
        <f>'LK data'!Y9-'Z1'!H13</f>
        <v>-5.1299999999999998E-2</v>
      </c>
      <c r="Z9" s="17">
        <f>'LK data'!Z9-'Z1'!I13</f>
        <v>-6.8199999999999997E-2</v>
      </c>
      <c r="AA9" s="17">
        <f>'LK data'!AA9-'Z1'!J13</f>
        <v>-8.4900000000000003E-2</v>
      </c>
      <c r="AB9" s="17">
        <f>'LK data'!AB9-'Z1'!K13</f>
        <v>-0.10150000000000001</v>
      </c>
      <c r="AC9" s="17">
        <f>'LK data'!AC9-'Z1'!L13</f>
        <v>-0.1263</v>
      </c>
      <c r="AD9" s="17">
        <f>'LK data'!AD9-'Z1'!M13</f>
        <v>-0.16689999999999999</v>
      </c>
      <c r="AE9" s="17">
        <f>'LK data'!AE9-'Z1'!N13</f>
        <v>-0.2465</v>
      </c>
      <c r="AF9" s="17">
        <f>'LK data'!AF9-'Z1'!O13</f>
        <v>-0.39910000000000001</v>
      </c>
      <c r="AG9" s="17">
        <f>'LK data'!AG9-'Z1'!P13</f>
        <v>-0.54459999999999997</v>
      </c>
      <c r="AH9" s="17">
        <f>'LK data'!AH9-'Z1'!Q13</f>
        <v>-0.75209999999999999</v>
      </c>
    </row>
    <row r="10" spans="2:34" x14ac:dyDescent="0.25">
      <c r="B10">
        <v>0.6</v>
      </c>
      <c r="C10" s="17">
        <f>'LK data'!C10-Z0!C14</f>
        <v>0.9849</v>
      </c>
      <c r="D10" s="17">
        <f>'LK data'!D10-Z0!D14</f>
        <v>9.2999999999999992E-3</v>
      </c>
      <c r="E10" s="17">
        <f>'LK data'!E10-Z0!E14</f>
        <v>1.8599999999999998E-2</v>
      </c>
      <c r="F10" s="17">
        <f>'LK data'!F10-Z0!F14</f>
        <v>3.7100000000000001E-2</v>
      </c>
      <c r="G10" s="17">
        <f>'LK data'!G10-Z0!G14</f>
        <v>7.4099999999999999E-2</v>
      </c>
      <c r="H10" s="17">
        <f>'LK data'!H10-Z0!H14</f>
        <v>0.1109</v>
      </c>
      <c r="I10" s="17">
        <f>'LK data'!I10-Z0!I14</f>
        <v>0.14760000000000001</v>
      </c>
      <c r="J10" s="17">
        <f>'LK data'!J10-Z0!J14</f>
        <v>0.1842</v>
      </c>
      <c r="K10" s="17">
        <f>'LK data'!K10-Z0!K14</f>
        <v>0.22070000000000001</v>
      </c>
      <c r="L10" s="17">
        <f>'LK data'!L10-Z0!L14</f>
        <v>0.27529999999999999</v>
      </c>
      <c r="M10" s="17">
        <f>'LK data'!M10-Z0!M14</f>
        <v>0.36570000000000003</v>
      </c>
      <c r="N10" s="17">
        <f>'LK data'!N10-Z0!N14</f>
        <v>0.54459999999999997</v>
      </c>
      <c r="O10" s="17">
        <f>'LK data'!O10-Z0!O14</f>
        <v>0.89590000000000003</v>
      </c>
      <c r="P10" s="17">
        <f>'LK data'!P10-Z0!P14</f>
        <v>1.2398</v>
      </c>
      <c r="Q10" s="17">
        <f>'LK data'!Q10-Z0!Q14</f>
        <v>1.744</v>
      </c>
      <c r="S10">
        <v>0.6</v>
      </c>
      <c r="T10" s="17">
        <f>'LK data'!T10-'Z1'!C14</f>
        <v>-2.0500000000000001E-2</v>
      </c>
      <c r="U10" s="17">
        <f>'LK data'!U10-'Z1'!D14</f>
        <v>-4.1000000000000003E-3</v>
      </c>
      <c r="V10" s="17">
        <f>'LK data'!V10-'Z1'!E14</f>
        <v>-8.2000000000000007E-3</v>
      </c>
      <c r="W10" s="17">
        <f>'LK data'!W10-'Z1'!F14</f>
        <v>-1.6400000000000001E-2</v>
      </c>
      <c r="X10" s="17">
        <f>'LK data'!X10-'Z1'!G14</f>
        <v>-3.2599999999999997E-2</v>
      </c>
      <c r="Y10" s="17">
        <f>'LK data'!Y10-'Z1'!H14</f>
        <v>-4.87E-2</v>
      </c>
      <c r="Z10" s="17">
        <f>'LK data'!Z10-'Z1'!I14</f>
        <v>-6.4600000000000005E-2</v>
      </c>
      <c r="AA10" s="17">
        <f>'LK data'!AA10-'Z1'!J14</f>
        <v>-8.0299999999999996E-2</v>
      </c>
      <c r="AB10" s="17">
        <f>'LK data'!AB10-'Z1'!K14</f>
        <v>-9.6000000000000002E-2</v>
      </c>
      <c r="AC10" s="17">
        <f>'LK data'!AC10-'Z1'!L14</f>
        <v>-0.1192</v>
      </c>
      <c r="AD10" s="17">
        <f>'LK data'!AD10-'Z1'!M14</f>
        <v>-0.15720000000000001</v>
      </c>
      <c r="AE10" s="17">
        <f>'LK data'!AE10-'Z1'!N14</f>
        <v>-0.23119999999999999</v>
      </c>
      <c r="AF10" s="17">
        <f>'LK data'!AF10-'Z1'!O14</f>
        <v>-0.37180000000000002</v>
      </c>
      <c r="AG10" s="17">
        <f>'LK data'!AG10-'Z1'!P14</f>
        <v>-0.50470000000000004</v>
      </c>
      <c r="AH10" s="17">
        <f>'LK data'!AH10-'Z1'!Q14</f>
        <v>-0.69279999999999997</v>
      </c>
    </row>
    <row r="11" spans="2:34" x14ac:dyDescent="0.25">
      <c r="B11">
        <v>0.65</v>
      </c>
      <c r="C11" s="17">
        <f>'LK data'!C11-Z0!C15</f>
        <v>0.98809999999999998</v>
      </c>
      <c r="D11" s="17">
        <f>'LK data'!D11-Z0!D15</f>
        <v>0.93769999999999998</v>
      </c>
      <c r="E11" s="17">
        <f>'LK data'!E11-Z0!E15</f>
        <v>1.78E-2</v>
      </c>
      <c r="F11" s="17">
        <f>'LK data'!F11-Z0!F15</f>
        <v>3.56E-2</v>
      </c>
      <c r="G11" s="17">
        <f>'LK data'!G11-Z0!G15</f>
        <v>7.0999999999999994E-2</v>
      </c>
      <c r="H11" s="17">
        <f>'LK data'!H11-Z0!H15</f>
        <v>0.10630000000000001</v>
      </c>
      <c r="I11" s="17">
        <f>'LK data'!I11-Z0!I15</f>
        <v>0.14149999999999999</v>
      </c>
      <c r="J11" s="17">
        <f>'LK data'!J11-Z0!J15</f>
        <v>0.17649999999999999</v>
      </c>
      <c r="K11" s="17">
        <f>'LK data'!K11-Z0!K15</f>
        <v>0.21129999999999999</v>
      </c>
      <c r="L11" s="17">
        <f>'LK data'!L11-Z0!L15</f>
        <v>0.26340000000000002</v>
      </c>
      <c r="M11" s="17">
        <f>'LK data'!M11-Z0!M15</f>
        <v>0.34949999999999998</v>
      </c>
      <c r="N11" s="17">
        <f>'LK data'!N11-Z0!N15</f>
        <v>0.51970000000000005</v>
      </c>
      <c r="O11" s="17">
        <f>'LK data'!O11-Z0!O15</f>
        <v>0.85260000000000002</v>
      </c>
      <c r="P11" s="17">
        <f>'LK data'!P11-Z0!P15</f>
        <v>1.1773</v>
      </c>
      <c r="Q11" s="17">
        <f>'LK data'!Q11-Z0!Q15</f>
        <v>1.6518999999999999</v>
      </c>
      <c r="S11">
        <v>0.65</v>
      </c>
      <c r="T11" s="17">
        <f>'LK data'!T11-'Z1'!C15</f>
        <v>-1.37E-2</v>
      </c>
      <c r="U11" s="17">
        <f>'LK data'!U11-'Z1'!D15</f>
        <v>-7.7200000000000005E-2</v>
      </c>
      <c r="V11" s="17">
        <f>'LK data'!V11-'Z1'!E15</f>
        <v>-7.7999999999999996E-3</v>
      </c>
      <c r="W11" s="17">
        <f>'LK data'!W11-'Z1'!F15</f>
        <v>-1.5599999999999999E-2</v>
      </c>
      <c r="X11" s="17">
        <f>'LK data'!X11-'Z1'!G15</f>
        <v>-3.09E-2</v>
      </c>
      <c r="Y11" s="17">
        <f>'LK data'!Y11-'Z1'!H15</f>
        <v>-4.6100000000000002E-2</v>
      </c>
      <c r="Z11" s="17">
        <f>'LK data'!Z11-'Z1'!I15</f>
        <v>-6.1100000000000002E-2</v>
      </c>
      <c r="AA11" s="17">
        <f>'LK data'!AA11-'Z1'!J15</f>
        <v>-7.5899999999999995E-2</v>
      </c>
      <c r="AB11" s="17">
        <f>'LK data'!AB11-'Z1'!K15</f>
        <v>-9.06E-2</v>
      </c>
      <c r="AC11" s="17">
        <f>'LK data'!AC11-'Z1'!L15</f>
        <v>-0.11219999999999999</v>
      </c>
      <c r="AD11" s="17">
        <f>'LK data'!AD11-'Z1'!M15</f>
        <v>-0.14760000000000001</v>
      </c>
      <c r="AE11" s="17">
        <f>'LK data'!AE11-'Z1'!N15</f>
        <v>-0.216</v>
      </c>
      <c r="AF11" s="17">
        <f>'LK data'!AF11-'Z1'!O15</f>
        <v>-0.34470000000000001</v>
      </c>
      <c r="AG11" s="17">
        <f>'LK data'!AG11-'Z1'!P15</f>
        <v>-0.46529999999999999</v>
      </c>
      <c r="AH11" s="17">
        <f>'LK data'!AH11-'Z1'!Q15</f>
        <v>-0.63460000000000005</v>
      </c>
    </row>
    <row r="12" spans="2:34" x14ac:dyDescent="0.25">
      <c r="B12">
        <v>0.7</v>
      </c>
      <c r="C12" s="17">
        <f>'LK data'!C12-Z0!C16</f>
        <v>0.99039999999999995</v>
      </c>
      <c r="D12" s="17">
        <f>'LK data'!D12-Z0!D16</f>
        <v>0.95040000000000002</v>
      </c>
      <c r="E12" s="17">
        <f>'LK data'!E12-Z0!E16</f>
        <v>0.89580000000000004</v>
      </c>
      <c r="F12" s="17">
        <f>'LK data'!F12-Z0!F16</f>
        <v>3.44E-2</v>
      </c>
      <c r="G12" s="17">
        <f>'LK data'!G12-Z0!G16</f>
        <v>6.8699999999999997E-2</v>
      </c>
      <c r="H12" s="17">
        <f>'LK data'!H12-Z0!H16</f>
        <v>0.1027</v>
      </c>
      <c r="I12" s="17">
        <f>'LK data'!I12-Z0!I16</f>
        <v>0.1366</v>
      </c>
      <c r="J12" s="17">
        <f>'LK data'!J12-Z0!J16</f>
        <v>0.17030000000000001</v>
      </c>
      <c r="K12" s="17">
        <f>'LK data'!K12-Z0!K16</f>
        <v>0.20380000000000001</v>
      </c>
      <c r="L12" s="17">
        <f>'LK data'!L12-Z0!L16</f>
        <v>0.25380000000000003</v>
      </c>
      <c r="M12" s="17">
        <f>'LK data'!M12-Z0!M16</f>
        <v>0.33639999999999998</v>
      </c>
      <c r="N12" s="17">
        <f>'LK data'!N12-Z0!N16</f>
        <v>0.49909999999999999</v>
      </c>
      <c r="O12" s="17">
        <f>'LK data'!O12-Z0!O16</f>
        <v>0.81610000000000005</v>
      </c>
      <c r="P12" s="17">
        <f>'LK data'!P12-Z0!P16</f>
        <v>1.1341000000000001</v>
      </c>
      <c r="Q12" s="17">
        <f>'LK data'!Q12-Z0!Q16</f>
        <v>1.5729</v>
      </c>
      <c r="S12">
        <v>0.7</v>
      </c>
      <c r="T12" s="17">
        <f>'LK data'!T12-'Z1'!C16</f>
        <v>-9.2999999999999992E-3</v>
      </c>
      <c r="U12" s="17">
        <f>'LK data'!U12-'Z1'!D16</f>
        <v>-5.0700000000000002E-2</v>
      </c>
      <c r="V12" s="17">
        <f>'LK data'!V12-'Z1'!E16</f>
        <v>-0.11609999999999999</v>
      </c>
      <c r="W12" s="17">
        <f>'LK data'!W12-'Z1'!F16</f>
        <v>-1.4800000000000001E-2</v>
      </c>
      <c r="X12" s="17">
        <f>'LK data'!X12-'Z1'!G16</f>
        <v>-2.9399999999999999E-2</v>
      </c>
      <c r="Y12" s="17">
        <f>'LK data'!Y12-'Z1'!H16</f>
        <v>-4.3799999999999999E-2</v>
      </c>
      <c r="Z12" s="17">
        <f>'LK data'!Z12-'Z1'!I16</f>
        <v>-5.79E-2</v>
      </c>
      <c r="AA12" s="17">
        <f>'LK data'!AA12-'Z1'!J16</f>
        <v>-7.1800000000000003E-2</v>
      </c>
      <c r="AB12" s="17">
        <f>'LK data'!AB12-'Z1'!K16</f>
        <v>-8.5500000000000007E-2</v>
      </c>
      <c r="AC12" s="17">
        <f>'LK data'!AC12-'Z1'!L16</f>
        <v>-0.1057</v>
      </c>
      <c r="AD12" s="17">
        <f>'LK data'!AD12-'Z1'!M16</f>
        <v>-0.13850000000000001</v>
      </c>
      <c r="AE12" s="17">
        <f>'LK data'!AE12-'Z1'!N16</f>
        <v>-0.20130000000000001</v>
      </c>
      <c r="AF12" s="17">
        <f>'LK data'!AF12-'Z1'!O16</f>
        <v>-0.31840000000000002</v>
      </c>
      <c r="AG12" s="17">
        <f>'LK data'!AG12-'Z1'!P16</f>
        <v>-0.42699999999999999</v>
      </c>
      <c r="AH12" s="17">
        <f>'LK data'!AH12-'Z1'!Q16</f>
        <v>-0.57850000000000001</v>
      </c>
    </row>
    <row r="13" spans="2:34" x14ac:dyDescent="0.25">
      <c r="B13">
        <v>0.75</v>
      </c>
      <c r="C13" s="17">
        <f>'LK data'!C13-Z0!C17</f>
        <v>0.99219999999999997</v>
      </c>
      <c r="D13" s="17">
        <f>'LK data'!D13-Z0!D17</f>
        <v>0.95979999999999999</v>
      </c>
      <c r="E13" s="17">
        <f>'LK data'!E13-Z0!E17</f>
        <v>0.91649999999999998</v>
      </c>
      <c r="F13" s="17">
        <f>'LK data'!F13-Z0!F17</f>
        <v>3.3599999999999998E-2</v>
      </c>
      <c r="G13" s="17">
        <f>'LK data'!G13-Z0!G17</f>
        <v>6.7000000000000004E-2</v>
      </c>
      <c r="H13" s="17">
        <f>'LK data'!H13-Z0!H17</f>
        <v>0.10009999999999999</v>
      </c>
      <c r="I13" s="17">
        <f>'LK data'!I13-Z0!I17</f>
        <v>0.13300000000000001</v>
      </c>
      <c r="J13" s="17">
        <f>'LK data'!J13-Z0!J17</f>
        <v>0.1656</v>
      </c>
      <c r="K13" s="17">
        <f>'LK data'!K13-Z0!K17</f>
        <v>0.1981</v>
      </c>
      <c r="L13" s="17">
        <f>'LK data'!L13-Z0!L17</f>
        <v>0.24640000000000001</v>
      </c>
      <c r="M13" s="17">
        <f>'LK data'!M13-Z0!M17</f>
        <v>0.32600000000000001</v>
      </c>
      <c r="N13" s="17">
        <f>'LK data'!N13-Z0!N17</f>
        <v>0.48230000000000001</v>
      </c>
      <c r="O13" s="17">
        <f>'LK data'!O13-Z0!O17</f>
        <v>0.78539999999999999</v>
      </c>
      <c r="P13" s="17">
        <f>'LK data'!P13-Z0!P17</f>
        <v>1.0787</v>
      </c>
      <c r="Q13" s="17">
        <f>'LK data'!Q13-Z0!Q17</f>
        <v>1.5046999999999999</v>
      </c>
      <c r="S13">
        <v>0.75</v>
      </c>
      <c r="T13" s="17">
        <f>'LK data'!T13-'Z1'!C17</f>
        <v>-6.4000000000000003E-3</v>
      </c>
      <c r="U13" s="17">
        <f>'LK data'!U13-'Z1'!D17</f>
        <v>-3.39E-2</v>
      </c>
      <c r="V13" s="17">
        <f>'LK data'!V13-'Z1'!E17</f>
        <v>-7.4399999999999994E-2</v>
      </c>
      <c r="W13" s="17">
        <f>'LK data'!W13-'Z1'!F17</f>
        <v>-1.43E-2</v>
      </c>
      <c r="X13" s="17">
        <f>'LK data'!X13-'Z1'!G17</f>
        <v>-2.8199999999999999E-2</v>
      </c>
      <c r="Y13" s="17">
        <f>'LK data'!Y13-'Z1'!H17</f>
        <v>-4.1700000000000001E-2</v>
      </c>
      <c r="Z13" s="17">
        <f>'LK data'!Z13-'Z1'!I17</f>
        <v>-5.5E-2</v>
      </c>
      <c r="AA13" s="17">
        <f>'LK data'!AA13-'Z1'!J17</f>
        <v>-6.8099999999999994E-2</v>
      </c>
      <c r="AB13" s="17">
        <f>'LK data'!AB13-'Z1'!K17</f>
        <v>-8.0799999999999997E-2</v>
      </c>
      <c r="AC13" s="17">
        <f>'LK data'!AC13-'Z1'!L17</f>
        <v>-9.9599999999999994E-2</v>
      </c>
      <c r="AD13" s="17">
        <f>'LK data'!AD13-'Z1'!M17</f>
        <v>-0.1298</v>
      </c>
      <c r="AE13" s="17">
        <f>'LK data'!AE13-'Z1'!N17</f>
        <v>-0.18720000000000001</v>
      </c>
      <c r="AF13" s="17">
        <f>'LK data'!AF13-'Z1'!O17</f>
        <v>-0.29289999999999999</v>
      </c>
      <c r="AG13" s="17">
        <f>'LK data'!AG13-'Z1'!P17</f>
        <v>-0.3901</v>
      </c>
      <c r="AH13" s="17">
        <f>'LK data'!AH13-'Z1'!Q17</f>
        <v>-0.52500000000000002</v>
      </c>
    </row>
    <row r="14" spans="2:34" x14ac:dyDescent="0.25">
      <c r="B14">
        <v>0.8</v>
      </c>
      <c r="C14" s="17">
        <f>'LK data'!C14-Z0!C18</f>
        <v>0.99350000000000005</v>
      </c>
      <c r="D14" s="17">
        <f>'LK data'!D14-Z0!D18</f>
        <v>0.96689999999999998</v>
      </c>
      <c r="E14" s="17">
        <f>'LK data'!E14-Z0!E18</f>
        <v>0.93189999999999995</v>
      </c>
      <c r="F14" s="17">
        <f>'LK data'!F14-Z0!F18</f>
        <v>0.85389999999999999</v>
      </c>
      <c r="G14" s="17">
        <f>'LK data'!G14-Z0!G18</f>
        <v>6.6100000000000006E-2</v>
      </c>
      <c r="H14" s="17">
        <f>'LK data'!H14-Z0!H18</f>
        <v>9.8500000000000004E-2</v>
      </c>
      <c r="I14" s="17">
        <f>'LK data'!I14-Z0!I18</f>
        <v>0.13070000000000001</v>
      </c>
      <c r="J14" s="17">
        <f>'LK data'!J14-Z0!J18</f>
        <v>0.16259999999999999</v>
      </c>
      <c r="K14" s="17">
        <f>'LK data'!K14-Z0!K18</f>
        <v>0.19420000000000001</v>
      </c>
      <c r="L14" s="17">
        <f>'LK data'!L14-Z0!L18</f>
        <v>0.24110000000000001</v>
      </c>
      <c r="M14" s="17">
        <f>'LK data'!M14-Z0!M18</f>
        <v>0.31819999999999998</v>
      </c>
      <c r="N14" s="17">
        <f>'LK data'!N14-Z0!N18</f>
        <v>0.46899999999999997</v>
      </c>
      <c r="O14" s="17">
        <f>'LK data'!O14-Z0!O18</f>
        <v>0.75980000000000003</v>
      </c>
      <c r="P14" s="17">
        <f>'LK data'!P14-Z0!P18</f>
        <v>1.04</v>
      </c>
      <c r="Q14" s="17">
        <f>'LK data'!Q14-Z0!Q18</f>
        <v>1.4456</v>
      </c>
      <c r="S14">
        <v>0.8</v>
      </c>
      <c r="T14" s="17">
        <f>'LK data'!T14-'Z1'!C18</f>
        <v>-4.4000000000000003E-3</v>
      </c>
      <c r="U14" s="17">
        <f>'LK data'!U14-'Z1'!D18</f>
        <v>-2.2800000000000001E-2</v>
      </c>
      <c r="V14" s="17">
        <f>'LK data'!V14-'Z1'!E18</f>
        <v>-4.87E-2</v>
      </c>
      <c r="W14" s="17">
        <f>'LK data'!W14-'Z1'!F18</f>
        <v>-0.11600000000000001</v>
      </c>
      <c r="X14" s="17">
        <f>'LK data'!X14-'Z1'!G18</f>
        <v>-2.7199999999999998E-2</v>
      </c>
      <c r="Y14" s="17">
        <f>'LK data'!Y14-'Z1'!H18</f>
        <v>-4.0099999999999997E-2</v>
      </c>
      <c r="Z14" s="17">
        <f>'LK data'!Z14-'Z1'!I18</f>
        <v>-5.2600000000000001E-2</v>
      </c>
      <c r="AA14" s="17">
        <f>'LK data'!AA14-'Z1'!J18</f>
        <v>-6.4799999999999996E-2</v>
      </c>
      <c r="AB14" s="17">
        <f>'LK data'!AB14-'Z1'!K18</f>
        <v>-7.6700000000000004E-2</v>
      </c>
      <c r="AC14" s="17">
        <f>'LK data'!AC14-'Z1'!L18</f>
        <v>-9.4E-2</v>
      </c>
      <c r="AD14" s="17">
        <f>'LK data'!AD14-'Z1'!M18</f>
        <v>-0.1217</v>
      </c>
      <c r="AE14" s="17">
        <f>'LK data'!AE14-'Z1'!N18</f>
        <v>-0.1736</v>
      </c>
      <c r="AF14" s="17">
        <f>'LK data'!AF14-'Z1'!O18</f>
        <v>-0.26819999999999999</v>
      </c>
      <c r="AG14" s="17">
        <f>'LK data'!AG14-'Z1'!P18</f>
        <v>-0.35449999999999998</v>
      </c>
      <c r="AH14" s="17">
        <f>'LK data'!AH14-'Z1'!Q18</f>
        <v>-0.47399999999999998</v>
      </c>
    </row>
    <row r="15" spans="2:34" x14ac:dyDescent="0.25">
      <c r="B15">
        <v>0.85</v>
      </c>
      <c r="C15" s="17">
        <f>'LK data'!C15-Z0!C19</f>
        <v>0.99460000000000004</v>
      </c>
      <c r="D15" s="17">
        <f>'LK data'!D15-Z0!D19</f>
        <v>0.97250000000000003</v>
      </c>
      <c r="E15" s="17">
        <f>'LK data'!E15-Z0!E19</f>
        <v>0.94359999999999999</v>
      </c>
      <c r="F15" s="17">
        <f>'LK data'!F15-Z0!F19</f>
        <v>0.88100000000000001</v>
      </c>
      <c r="G15" s="17">
        <f>'LK data'!G15-Z0!G19</f>
        <v>6.6100000000000006E-2</v>
      </c>
      <c r="H15" s="17">
        <f>'LK data'!H15-Z0!H19</f>
        <v>9.8299999999999998E-2</v>
      </c>
      <c r="I15" s="17">
        <f>'LK data'!I15-Z0!I19</f>
        <v>0.13009999999999999</v>
      </c>
      <c r="J15" s="17">
        <f>'LK data'!J15-Z0!J19</f>
        <v>0.16139999999999999</v>
      </c>
      <c r="K15" s="17">
        <f>'LK data'!K15-Z0!K19</f>
        <v>0.19239999999999999</v>
      </c>
      <c r="L15" s="17">
        <f>'LK data'!L15-Z0!L19</f>
        <v>0.2382</v>
      </c>
      <c r="M15" s="17">
        <f>'LK data'!M15-Z0!M19</f>
        <v>0.31319999999999998</v>
      </c>
      <c r="N15" s="17">
        <f>'LK data'!N15-Z0!N19</f>
        <v>0.45910000000000001</v>
      </c>
      <c r="O15" s="17">
        <f>'LK data'!O15-Z0!O19</f>
        <v>0.73880000000000001</v>
      </c>
      <c r="P15" s="17">
        <f>'LK data'!P15-Z0!P19</f>
        <v>1.0071000000000001</v>
      </c>
      <c r="Q15" s="17">
        <f>'LK data'!Q15-Z0!Q19</f>
        <v>1.3943000000000001</v>
      </c>
      <c r="S15">
        <v>0.85</v>
      </c>
      <c r="T15" s="17">
        <f>'LK data'!T15-'Z1'!C19</f>
        <v>-2.8999999999999998E-3</v>
      </c>
      <c r="U15" s="17">
        <f>'LK data'!U15-'Z1'!D19</f>
        <v>-1.52E-2</v>
      </c>
      <c r="V15" s="17">
        <f>'LK data'!V15-'Z1'!E19</f>
        <v>-3.1899999999999998E-2</v>
      </c>
      <c r="W15" s="17">
        <f>'LK data'!W15-'Z1'!F19</f>
        <v>-7.1499999999999994E-2</v>
      </c>
      <c r="X15" s="17">
        <f>'LK data'!X15-'Z1'!G19</f>
        <v>-2.6800000000000001E-2</v>
      </c>
      <c r="Y15" s="17">
        <f>'LK data'!Y15-'Z1'!H19</f>
        <v>-3.9100000000000003E-2</v>
      </c>
      <c r="Z15" s="17">
        <f>'LK data'!Z15-'Z1'!I19</f>
        <v>-5.0900000000000001E-2</v>
      </c>
      <c r="AA15" s="17">
        <f>'LK data'!AA15-'Z1'!J19</f>
        <v>-6.2199999999999998E-2</v>
      </c>
      <c r="AB15" s="17">
        <f>'LK data'!AB15-'Z1'!K19</f>
        <v>-7.3099999999999998E-2</v>
      </c>
      <c r="AC15" s="17">
        <f>'LK data'!AC15-'Z1'!L19</f>
        <v>-8.8800000000000004E-2</v>
      </c>
      <c r="AD15" s="17">
        <f>'LK data'!AD15-'Z1'!M19</f>
        <v>-0.1138</v>
      </c>
      <c r="AE15" s="17">
        <f>'LK data'!AE15-'Z1'!N19</f>
        <v>-0.16020000000000001</v>
      </c>
      <c r="AF15" s="17">
        <f>'LK data'!AF15-'Z1'!O19</f>
        <v>-0.24390000000000001</v>
      </c>
      <c r="AG15" s="17">
        <f>'LK data'!AG15-'Z1'!P19</f>
        <v>-0.3201</v>
      </c>
      <c r="AH15" s="17">
        <f>'LK data'!AH15-'Z1'!Q19</f>
        <v>-0.4254</v>
      </c>
    </row>
    <row r="16" spans="2:34" x14ac:dyDescent="0.25">
      <c r="B16">
        <v>0.9</v>
      </c>
      <c r="C16" s="17">
        <f>'LK data'!C16-Z0!C20</f>
        <v>0.99539999999999995</v>
      </c>
      <c r="D16" s="17">
        <f>'LK data'!D16-Z0!D20</f>
        <v>0.9768</v>
      </c>
      <c r="E16" s="17">
        <f>'LK data'!E16-Z0!E20</f>
        <v>0.95279999999999998</v>
      </c>
      <c r="F16" s="17">
        <f>'LK data'!F16-Z0!F20</f>
        <v>0.90149999999999997</v>
      </c>
      <c r="G16" s="17">
        <f>'LK data'!G16-Z0!G20</f>
        <v>0.78</v>
      </c>
      <c r="H16" s="17">
        <f>'LK data'!H16-Z0!H20</f>
        <v>0.10059999999999999</v>
      </c>
      <c r="I16" s="17">
        <f>'LK data'!I16-Z0!I20</f>
        <v>0.1321</v>
      </c>
      <c r="J16" s="17">
        <f>'LK data'!J16-Z0!J20</f>
        <v>0.16300000000000001</v>
      </c>
      <c r="K16" s="17">
        <f>'LK data'!K16-Z0!K20</f>
        <v>0.19350000000000001</v>
      </c>
      <c r="L16" s="17">
        <f>'LK data'!L16-Z0!L20</f>
        <v>0.23830000000000001</v>
      </c>
      <c r="M16" s="17">
        <f>'LK data'!M16-Z0!M20</f>
        <v>0.31140000000000001</v>
      </c>
      <c r="N16" s="17">
        <f>'LK data'!N16-Z0!N20</f>
        <v>0.45269999999999999</v>
      </c>
      <c r="O16" s="17">
        <f>'LK data'!O16-Z0!O20</f>
        <v>0.72199999999999998</v>
      </c>
      <c r="P16" s="17">
        <f>'LK data'!P16-Z0!P20</f>
        <v>0.97929999999999995</v>
      </c>
      <c r="Q16" s="17">
        <f>'LK data'!Q16-Z0!Q20</f>
        <v>1.3495999999999999</v>
      </c>
      <c r="S16">
        <v>0.9</v>
      </c>
      <c r="T16" s="17">
        <f>'LK data'!T16-'Z1'!C20</f>
        <v>-1.9E-3</v>
      </c>
      <c r="U16" s="17">
        <f>'LK data'!U16-'Z1'!D20</f>
        <v>-9.9000000000000008E-3</v>
      </c>
      <c r="V16" s="17">
        <f>'LK data'!V16-'Z1'!E20</f>
        <v>-2.0500000000000001E-2</v>
      </c>
      <c r="W16" s="17">
        <f>'LK data'!W16-'Z1'!F20</f>
        <v>-4.4200000000000003E-2</v>
      </c>
      <c r="X16" s="17">
        <f>'LK data'!X16-'Z1'!G20</f>
        <v>-0.1118</v>
      </c>
      <c r="Y16" s="17">
        <f>'LK data'!Y16-'Z1'!H20</f>
        <v>-3.9600000000000003E-2</v>
      </c>
      <c r="Z16" s="17">
        <f>'LK data'!Z16-'Z1'!I20</f>
        <v>-5.0299999999999997E-2</v>
      </c>
      <c r="AA16" s="17">
        <f>'LK data'!AA16-'Z1'!J20</f>
        <v>-6.0400000000000002E-2</v>
      </c>
      <c r="AB16" s="17">
        <f>'LK data'!AB16-'Z1'!K20</f>
        <v>-7.0099999999999996E-2</v>
      </c>
      <c r="AC16" s="17">
        <f>'LK data'!AC16-'Z1'!L20</f>
        <v>-8.4000000000000005E-2</v>
      </c>
      <c r="AD16" s="17">
        <f>'LK data'!AD16-'Z1'!M20</f>
        <v>-0.10589999999999999</v>
      </c>
      <c r="AE16" s="17">
        <f>'LK data'!AE16-'Z1'!N20</f>
        <v>-0.14630000000000001</v>
      </c>
      <c r="AF16" s="17">
        <f>'LK data'!AF16-'Z1'!O20</f>
        <v>-0.2195</v>
      </c>
      <c r="AG16" s="17">
        <f>'LK data'!AG16-'Z1'!P20</f>
        <v>-0.28620000000000001</v>
      </c>
      <c r="AH16" s="17">
        <f>'LK data'!AH16-'Z1'!Q20</f>
        <v>-0.37880000000000003</v>
      </c>
    </row>
    <row r="17" spans="2:34" x14ac:dyDescent="0.25">
      <c r="B17">
        <v>0.93</v>
      </c>
      <c r="C17" s="17">
        <f>'LK data'!C17-Z0!C21</f>
        <v>0.99590000000000001</v>
      </c>
      <c r="D17" s="17">
        <f>'LK data'!D17-Z0!D21</f>
        <v>0.97899999999999998</v>
      </c>
      <c r="E17" s="17">
        <f>'LK data'!E17-Z0!E21</f>
        <v>0.95730000000000004</v>
      </c>
      <c r="F17" s="17">
        <f>'LK data'!F17-Z0!F21</f>
        <v>0.91149999999999998</v>
      </c>
      <c r="G17" s="17">
        <f>'LK data'!G17-Z0!G21</f>
        <v>0.80589999999999995</v>
      </c>
      <c r="H17" s="17">
        <f>'LK data'!H17-Z0!H21</f>
        <v>0.66349999999999998</v>
      </c>
      <c r="I17" s="17">
        <f>'LK data'!I17-Z0!I21</f>
        <v>0.13589999999999999</v>
      </c>
      <c r="J17" s="17">
        <f>'LK data'!J17-Z0!J21</f>
        <v>0.16639999999999999</v>
      </c>
      <c r="K17" s="17">
        <f>'LK data'!K17-Z0!K21</f>
        <v>0.1963</v>
      </c>
      <c r="L17" s="17">
        <f>'LK data'!L17-Z0!L21</f>
        <v>0.24049999999999999</v>
      </c>
      <c r="M17" s="17">
        <f>'LK data'!M17-Z0!M21</f>
        <v>0.31219999999999998</v>
      </c>
      <c r="N17" s="17">
        <f>'LK data'!N17-Z0!N21</f>
        <v>0.45069999999999999</v>
      </c>
      <c r="O17" s="17">
        <f>'LK data'!O17-Z0!O21</f>
        <v>0.71379999999999999</v>
      </c>
      <c r="P17" s="17">
        <f>'LK data'!P17-Z0!P21</f>
        <v>0.96479999999999999</v>
      </c>
      <c r="Q17" s="17">
        <f>'LK data'!Q17-Z0!Q21</f>
        <v>1.3257000000000001</v>
      </c>
      <c r="S17">
        <v>0.93</v>
      </c>
      <c r="T17" s="17">
        <f>'LK data'!T17-'Z1'!C21</f>
        <v>-1.5E-3</v>
      </c>
      <c r="U17" s="17">
        <f>'LK data'!U17-'Z1'!D21</f>
        <v>-7.4999999999999997E-3</v>
      </c>
      <c r="V17" s="17">
        <f>'LK data'!V17-'Z1'!E21</f>
        <v>-1.54E-2</v>
      </c>
      <c r="W17" s="17">
        <f>'LK data'!W17-'Z1'!F21</f>
        <v>-3.2599999999999997E-2</v>
      </c>
      <c r="X17" s="17">
        <f>'LK data'!X17-'Z1'!G21</f>
        <v>-7.6300000000000007E-2</v>
      </c>
      <c r="Y17" s="17">
        <f>'LK data'!Y17-'Z1'!H21</f>
        <v>-0.16619999999999999</v>
      </c>
      <c r="Z17" s="17">
        <f>'LK data'!Z17-'Z1'!I21</f>
        <v>-5.1400000000000001E-2</v>
      </c>
      <c r="AA17" s="17">
        <f>'LK data'!AA17-'Z1'!J21</f>
        <v>-6.0199999999999997E-2</v>
      </c>
      <c r="AB17" s="17">
        <f>'LK data'!AB17-'Z1'!K21</f>
        <v>-6.8699999999999997E-2</v>
      </c>
      <c r="AC17" s="17">
        <f>'LK data'!AC17-'Z1'!L21</f>
        <v>-8.1000000000000003E-2</v>
      </c>
      <c r="AD17" s="17">
        <f>'LK data'!AD17-'Z1'!M21</f>
        <v>-0.1007</v>
      </c>
      <c r="AE17" s="17">
        <f>'LK data'!AE17-'Z1'!N21</f>
        <v>-0.13739999999999999</v>
      </c>
      <c r="AF17" s="17">
        <f>'LK data'!AF17-'Z1'!O21</f>
        <v>-0.20449999999999999</v>
      </c>
      <c r="AG17" s="17">
        <f>'LK data'!AG17-'Z1'!P21</f>
        <v>-0.2661</v>
      </c>
      <c r="AH17" s="17">
        <f>'LK data'!AH17-'Z1'!Q21</f>
        <v>-0.35160000000000002</v>
      </c>
    </row>
    <row r="18" spans="2:34" x14ac:dyDescent="0.25">
      <c r="B18">
        <v>0.95</v>
      </c>
      <c r="C18" s="17">
        <f>'LK data'!C18-Z0!C22</f>
        <v>0.99609999999999999</v>
      </c>
      <c r="D18" s="17">
        <f>'LK data'!D18-Z0!D22</f>
        <v>0.98029999999999995</v>
      </c>
      <c r="E18" s="17">
        <f>'LK data'!E18-Z0!E22</f>
        <v>0.96</v>
      </c>
      <c r="F18" s="17">
        <f>'LK data'!F18-Z0!F22</f>
        <v>0.91739999999999999</v>
      </c>
      <c r="G18" s="17">
        <f>'LK data'!G18-Z0!G22</f>
        <v>0.8206</v>
      </c>
      <c r="H18" s="17">
        <f>'LK data'!H18-Z0!H22</f>
        <v>0.69669999999999999</v>
      </c>
      <c r="I18" s="17">
        <f>'LK data'!I18-Z0!I22</f>
        <v>0.14099999999999999</v>
      </c>
      <c r="J18" s="17">
        <f>'LK data'!J18-Z0!J22</f>
        <v>0.17050000000000001</v>
      </c>
      <c r="K18" s="17">
        <f>'LK data'!K18-Z0!K22</f>
        <v>0.19980000000000001</v>
      </c>
      <c r="L18" s="17">
        <f>'LK data'!L18-Z0!L22</f>
        <v>0.2432</v>
      </c>
      <c r="M18" s="17">
        <f>'LK data'!M18-Z0!M22</f>
        <v>0.31380000000000002</v>
      </c>
      <c r="N18" s="17">
        <f>'LK data'!N18-Z0!N22</f>
        <v>0.4501</v>
      </c>
      <c r="O18" s="17">
        <f>'LK data'!O18-Z0!O22</f>
        <v>0.70920000000000005</v>
      </c>
      <c r="P18" s="17">
        <f>'LK data'!P18-Z0!P22</f>
        <v>0.95609999999999995</v>
      </c>
      <c r="Q18" s="17">
        <f>'LK data'!Q18-Z0!Q22</f>
        <v>1.3108</v>
      </c>
      <c r="S18">
        <v>0.95</v>
      </c>
      <c r="T18" s="17">
        <f>'LK data'!T18-'Z1'!C22</f>
        <v>-1.1999999999999999E-3</v>
      </c>
      <c r="U18" s="17">
        <f>'LK data'!U18-'Z1'!D22</f>
        <v>-6.1999999999999998E-3</v>
      </c>
      <c r="V18" s="17">
        <f>'LK data'!V18-'Z1'!E22</f>
        <v>-1.26E-2</v>
      </c>
      <c r="W18" s="17">
        <f>'LK data'!W18-'Z1'!F22</f>
        <v>-2.6200000000000001E-2</v>
      </c>
      <c r="X18" s="17">
        <f>'LK data'!X18-'Z1'!G22</f>
        <v>-5.8900000000000001E-2</v>
      </c>
      <c r="Y18" s="17">
        <f>'LK data'!Y18-'Z1'!H22</f>
        <v>-0.111</v>
      </c>
      <c r="Z18" s="17">
        <f>'LK data'!Z18-'Z1'!I22</f>
        <v>-5.3999999999999999E-2</v>
      </c>
      <c r="AA18" s="17">
        <f>'LK data'!AA18-'Z1'!J22</f>
        <v>-6.0699999999999997E-2</v>
      </c>
      <c r="AB18" s="17">
        <f>'LK data'!AB18-'Z1'!K22</f>
        <v>-6.7799999999999999E-2</v>
      </c>
      <c r="AC18" s="17">
        <f>'LK data'!AC18-'Z1'!L22</f>
        <v>-7.8799999999999995E-2</v>
      </c>
      <c r="AD18" s="17">
        <f>'LK data'!AD18-'Z1'!M22</f>
        <v>-9.6699999999999994E-2</v>
      </c>
      <c r="AE18" s="17">
        <f>'LK data'!AE18-'Z1'!N22</f>
        <v>-0.13100000000000001</v>
      </c>
      <c r="AF18" s="17">
        <f>'LK data'!AF18-'Z1'!O22</f>
        <v>-0.1943</v>
      </c>
      <c r="AG18" s="17">
        <f>'LK data'!AG18-'Z1'!P22</f>
        <v>-0.25259999999999999</v>
      </c>
      <c r="AH18" s="17">
        <f>'LK data'!AH18-'Z1'!Q22</f>
        <v>-0.33389999999999997</v>
      </c>
    </row>
    <row r="19" spans="2:34" x14ac:dyDescent="0.25">
      <c r="B19">
        <v>0.97</v>
      </c>
      <c r="C19" s="17">
        <f>'LK data'!C19-Z0!C23</f>
        <v>0.99629999999999996</v>
      </c>
      <c r="D19" s="17">
        <f>'LK data'!D19-Z0!D23</f>
        <v>0.98150000000000004</v>
      </c>
      <c r="E19" s="17">
        <f>'LK data'!E19-Z0!E23</f>
        <v>0.96250000000000002</v>
      </c>
      <c r="F19" s="17">
        <f>'LK data'!F19-Z0!F23</f>
        <v>0.92269999999999996</v>
      </c>
      <c r="G19" s="17">
        <f>'LK data'!G19-Z0!G23</f>
        <v>0.83379999999999999</v>
      </c>
      <c r="H19" s="17">
        <f>'LK data'!H19-Z0!H23</f>
        <v>0.72399999999999998</v>
      </c>
      <c r="I19" s="17">
        <f>'LK data'!I19-Z0!I23</f>
        <v>0.55800000000000005</v>
      </c>
      <c r="J19" s="17">
        <f>'LK data'!J19-Z0!J23</f>
        <v>0.1779</v>
      </c>
      <c r="K19" s="17">
        <f>'LK data'!K19-Z0!K23</f>
        <v>0.20549999999999999</v>
      </c>
      <c r="L19" s="17">
        <f>'LK data'!L19-Z0!L23</f>
        <v>0.24740000000000001</v>
      </c>
      <c r="M19" s="17">
        <f>'LK data'!M19-Z0!M23</f>
        <v>0.31640000000000001</v>
      </c>
      <c r="N19" s="17">
        <f>'LK data'!N19-Z0!N23</f>
        <v>0.45040000000000002</v>
      </c>
      <c r="O19" s="17">
        <f>'LK data'!O19-Z0!O23</f>
        <v>0.70520000000000005</v>
      </c>
      <c r="P19" s="17">
        <f>'LK data'!P19-Z0!P23</f>
        <v>0.94799999999999995</v>
      </c>
      <c r="Q19" s="17">
        <f>'LK data'!Q19-Z0!Q23</f>
        <v>1.2968</v>
      </c>
      <c r="S19">
        <v>0.97</v>
      </c>
      <c r="T19" s="17">
        <f>'LK data'!T19-'Z1'!C23</f>
        <v>-1E-3</v>
      </c>
      <c r="U19" s="17">
        <f>'LK data'!U19-'Z1'!D23</f>
        <v>-5.0000000000000001E-3</v>
      </c>
      <c r="V19" s="17">
        <f>'LK data'!V19-'Z1'!E23</f>
        <v>-1.01E-2</v>
      </c>
      <c r="W19" s="17">
        <f>'LK data'!W19-'Z1'!F23</f>
        <v>-2.0799999999999999E-2</v>
      </c>
      <c r="X19" s="17">
        <f>'LK data'!X19-'Z1'!G23</f>
        <v>-4.4999999999999998E-2</v>
      </c>
      <c r="Y19" s="17">
        <f>'LK data'!Y19-'Z1'!H23</f>
        <v>-7.6999999999999999E-2</v>
      </c>
      <c r="Z19" s="17">
        <f>'LK data'!Z19-'Z1'!I23</f>
        <v>-0.16470000000000001</v>
      </c>
      <c r="AA19" s="17">
        <f>'LK data'!AA19-'Z1'!J23</f>
        <v>-6.2300000000000001E-2</v>
      </c>
      <c r="AB19" s="17">
        <f>'LK data'!AB19-'Z1'!K23</f>
        <v>-6.6900000000000001E-2</v>
      </c>
      <c r="AC19" s="17">
        <f>'LK data'!AC19-'Z1'!L23</f>
        <v>-7.5899999999999995E-2</v>
      </c>
      <c r="AD19" s="17">
        <f>'LK data'!AD19-'Z1'!M23</f>
        <v>-9.2100000000000001E-2</v>
      </c>
      <c r="AE19" s="17">
        <f>'LK data'!AE19-'Z1'!N23</f>
        <v>-0.124</v>
      </c>
      <c r="AF19" s="17">
        <f>'LK data'!AF19-'Z1'!O23</f>
        <v>-0.1837</v>
      </c>
      <c r="AG19" s="17">
        <f>'LK data'!AG19-'Z1'!P23</f>
        <v>-0.23910000000000001</v>
      </c>
      <c r="AH19" s="17">
        <f>'LK data'!AH19-'Z1'!Q23</f>
        <v>-0.31630000000000003</v>
      </c>
    </row>
    <row r="20" spans="2:34" x14ac:dyDescent="0.25">
      <c r="B20">
        <v>0.98</v>
      </c>
      <c r="C20" s="17">
        <f>'LK data'!C20-Z0!C24</f>
        <v>0.99650000000000005</v>
      </c>
      <c r="D20" s="17">
        <f>'LK data'!D20-Z0!D24</f>
        <v>0.98209999999999997</v>
      </c>
      <c r="E20" s="17">
        <f>'LK data'!E20-Z0!E24</f>
        <v>0.9637</v>
      </c>
      <c r="F20" s="17">
        <f>'LK data'!F20-Z0!F24</f>
        <v>0.92530000000000001</v>
      </c>
      <c r="G20" s="17">
        <f>'LK data'!G20-Z0!G24</f>
        <v>0.83979999999999999</v>
      </c>
      <c r="H20" s="17">
        <f>'LK data'!H20-Z0!H24</f>
        <v>0.73599999999999999</v>
      </c>
      <c r="I20" s="17">
        <f>'LK data'!I20-Z0!I24</f>
        <v>0.5887</v>
      </c>
      <c r="J20" s="17">
        <f>'LK data'!J20-Z0!J24</f>
        <v>0.18440000000000001</v>
      </c>
      <c r="K20" s="17">
        <f>'LK data'!K20-Z0!K24</f>
        <v>0.2097</v>
      </c>
      <c r="L20" s="17">
        <f>'LK data'!L20-Z0!L24</f>
        <v>0.25030000000000002</v>
      </c>
      <c r="M20" s="17">
        <f>'LK data'!M20-Z0!M24</f>
        <v>0.31819999999999998</v>
      </c>
      <c r="N20" s="17">
        <f>'LK data'!N20-Z0!N24</f>
        <v>0.45079999999999998</v>
      </c>
      <c r="O20" s="17">
        <f>'LK data'!O20-Z0!O24</f>
        <v>0.70350000000000001</v>
      </c>
      <c r="P20" s="17">
        <f>'LK data'!P20-Z0!P24</f>
        <v>0.94420000000000004</v>
      </c>
      <c r="Q20" s="17">
        <f>'LK data'!Q20-Z0!Q24</f>
        <v>1.2901</v>
      </c>
      <c r="S20">
        <v>0.98</v>
      </c>
      <c r="T20" s="17">
        <f>'LK data'!T20-'Z1'!C24</f>
        <v>-8.9999999999999998E-4</v>
      </c>
      <c r="U20" s="17">
        <f>'LK data'!U20-'Z1'!D24</f>
        <v>-4.0000000000000001E-3</v>
      </c>
      <c r="V20" s="17">
        <f>'LK data'!V20-'Z1'!E24</f>
        <v>-8.9999999999999993E-3</v>
      </c>
      <c r="W20" s="17">
        <f>'LK data'!W20-'Z1'!F24</f>
        <v>-1.84E-2</v>
      </c>
      <c r="X20" s="17">
        <f>'LK data'!X20-'Z1'!G24</f>
        <v>-3.9E-2</v>
      </c>
      <c r="Y20" s="17">
        <f>'LK data'!Y20-'Z1'!H24</f>
        <v>-6.4100000000000004E-2</v>
      </c>
      <c r="Z20" s="17">
        <f>'LK data'!Z20-'Z1'!I24</f>
        <v>-0.11</v>
      </c>
      <c r="AA20" s="17">
        <f>'LK data'!AA20-'Z1'!J24</f>
        <v>-6.4100000000000004E-2</v>
      </c>
      <c r="AB20" s="17">
        <f>'LK data'!AB20-'Z1'!K24</f>
        <v>-6.6100000000000006E-2</v>
      </c>
      <c r="AC20" s="17">
        <f>'LK data'!AC20-'Z1'!L24</f>
        <v>-7.3999999999999996E-2</v>
      </c>
      <c r="AD20" s="17">
        <f>'LK data'!AD20-'Z1'!M24</f>
        <v>-8.9300000000000004E-2</v>
      </c>
      <c r="AE20" s="17">
        <f>'LK data'!AE20-'Z1'!N24</f>
        <v>-0.1202</v>
      </c>
      <c r="AF20" s="17">
        <f>'LK data'!AF20-'Z1'!O24</f>
        <v>-0.17829999999999999</v>
      </c>
      <c r="AG20" s="17">
        <f>'LK data'!AG20-'Z1'!P24</f>
        <v>-0.23219999999999999</v>
      </c>
      <c r="AH20" s="17">
        <f>'LK data'!AH20-'Z1'!Q24</f>
        <v>-0.3075</v>
      </c>
    </row>
    <row r="21" spans="2:34" x14ac:dyDescent="0.25">
      <c r="B21">
        <v>0.99</v>
      </c>
      <c r="C21" s="17">
        <f>'LK data'!C21-Z0!C25</f>
        <v>0.99660000000000004</v>
      </c>
      <c r="D21" s="17">
        <f>'LK data'!D21-Z0!D25</f>
        <v>0.98260000000000003</v>
      </c>
      <c r="E21" s="17">
        <f>'LK data'!E21-Z0!E25</f>
        <v>0.96479999999999999</v>
      </c>
      <c r="F21" s="17">
        <f>'LK data'!F21-Z0!F25</f>
        <v>0.92769999999999997</v>
      </c>
      <c r="G21" s="17">
        <f>'LK data'!G21-Z0!G25</f>
        <v>0.84550000000000003</v>
      </c>
      <c r="H21" s="17">
        <f>'LK data'!H21-Z0!H25</f>
        <v>0.74709999999999999</v>
      </c>
      <c r="I21" s="17">
        <f>'LK data'!I21-Z0!I25</f>
        <v>0.61380000000000001</v>
      </c>
      <c r="J21" s="17">
        <f>'LK data'!J21-Z0!J25</f>
        <v>0.19589999999999999</v>
      </c>
      <c r="K21" s="17">
        <f>'LK data'!K21-Z0!K25</f>
        <v>0.21540000000000001</v>
      </c>
      <c r="L21" s="17" t="e">
        <f ca="1">'LK data'!L21-Z0!L25</f>
        <v>#NAME?</v>
      </c>
      <c r="M21" s="17">
        <f>'LK data'!M21-Z0!M25</f>
        <v>0.32040000000000002</v>
      </c>
      <c r="N21" s="17">
        <f>'LK data'!N21-Z0!N25</f>
        <v>0.45140000000000002</v>
      </c>
      <c r="O21" s="17">
        <f>'LK data'!O21-Z0!O25</f>
        <v>0.70179999999999998</v>
      </c>
      <c r="P21" s="17">
        <f>'LK data'!P21-Z0!P25</f>
        <v>0.94059999999999999</v>
      </c>
      <c r="Q21" s="17">
        <f>'LK data'!Q21-Z0!Q25</f>
        <v>1.2835000000000001</v>
      </c>
      <c r="S21">
        <v>0.99</v>
      </c>
      <c r="T21" s="17">
        <f>'LK data'!T21-'Z1'!C25</f>
        <v>-8.0000000000000004E-4</v>
      </c>
      <c r="U21" s="17">
        <f>'LK data'!U21-'Z1'!D25</f>
        <v>-3.8999999999999998E-3</v>
      </c>
      <c r="V21" s="17">
        <f>'LK data'!V21-'Z1'!E25</f>
        <v>-7.9000000000000008E-3</v>
      </c>
      <c r="W21" s="17">
        <f>'LK data'!W21-'Z1'!F25</f>
        <v>-1.61E-2</v>
      </c>
      <c r="X21" s="17">
        <f>'LK data'!X21-'Z1'!G25</f>
        <v>-3.3500000000000002E-2</v>
      </c>
      <c r="Y21" s="17">
        <f>'LK data'!Y21-'Z1'!H25</f>
        <v>-5.3100000000000001E-2</v>
      </c>
      <c r="Z21" s="17">
        <f>'LK data'!Z21-'Z1'!I25</f>
        <v>-7.9600000000000004E-2</v>
      </c>
      <c r="AA21" s="17">
        <f>'LK data'!AA21-'Z1'!J25</f>
        <v>-6.8000000000000005E-2</v>
      </c>
      <c r="AB21" s="17">
        <f>'LK data'!AB21-'Z1'!K25</f>
        <v>-6.4600000000000005E-2</v>
      </c>
      <c r="AC21" s="17">
        <f>'LK data'!AC21-'Z1'!L25</f>
        <v>-7.1499999999999994E-2</v>
      </c>
      <c r="AD21" s="17">
        <f>'LK data'!AD21-'Z1'!M25</f>
        <v>-8.6099999999999996E-2</v>
      </c>
      <c r="AE21" s="17">
        <f>'LK data'!AE21-'Z1'!N25</f>
        <v>-0.1162</v>
      </c>
      <c r="AF21" s="17">
        <f>'LK data'!AF21-'Z1'!O25</f>
        <v>-0.17280000000000001</v>
      </c>
      <c r="AG21" s="17">
        <f>'LK data'!AG21-'Z1'!P25</f>
        <v>-0.22539999999999999</v>
      </c>
      <c r="AH21" s="17">
        <f>'LK data'!AH21-'Z1'!Q25</f>
        <v>-0.2989</v>
      </c>
    </row>
    <row r="22" spans="2:34" x14ac:dyDescent="0.25">
      <c r="B22">
        <v>1</v>
      </c>
      <c r="C22" s="17">
        <f>'LK data'!C22-Z0!C26</f>
        <v>0.99670000000000003</v>
      </c>
      <c r="D22" s="17">
        <f>'LK data'!D22-Z0!D26</f>
        <v>0.98319999999999996</v>
      </c>
      <c r="E22" s="17">
        <f>'LK data'!E22-Z0!E26</f>
        <v>0.96589999999999998</v>
      </c>
      <c r="F22" s="17">
        <f>'LK data'!F22-Z0!F26</f>
        <v>0.93</v>
      </c>
      <c r="G22" s="17">
        <f>'LK data'!G22-Z0!G26</f>
        <v>0.85089999999999999</v>
      </c>
      <c r="H22" s="17">
        <f>'LK data'!H22-Z0!H26</f>
        <v>0.75739999999999996</v>
      </c>
      <c r="I22" s="17">
        <f>'LK data'!I22-Z0!I26</f>
        <v>0.63549999999999995</v>
      </c>
      <c r="J22" s="17">
        <f>'LK data'!J22-Z0!J26</f>
        <v>0.29010000000000002</v>
      </c>
      <c r="K22" s="17">
        <f>'LK data'!K22-Z0!K26</f>
        <v>0.22370000000000001</v>
      </c>
      <c r="L22" s="17">
        <f>'LK data'!L22-Z0!L26</f>
        <v>0.25829999999999997</v>
      </c>
      <c r="M22" s="17">
        <f>'LK data'!M22-Z0!M26</f>
        <v>0.32290000000000002</v>
      </c>
      <c r="N22" s="17">
        <f>'LK data'!N22-Z0!N26</f>
        <v>0.45219999999999999</v>
      </c>
      <c r="O22" s="17">
        <f>'LK data'!O22-Z0!O26</f>
        <v>0.70040000000000002</v>
      </c>
      <c r="P22" s="17">
        <f>'LK data'!P22-Z0!P26</f>
        <v>0.93720000000000003</v>
      </c>
      <c r="Q22" s="17">
        <f>'LK data'!Q22-Z0!Q26</f>
        <v>1.2771999999999999</v>
      </c>
      <c r="S22">
        <v>1</v>
      </c>
      <c r="T22" s="17">
        <f>'LK data'!T22-'Z1'!C26</f>
        <v>-6.9999999999999999E-4</v>
      </c>
      <c r="U22" s="17">
        <f>'LK data'!U22-'Z1'!D26</f>
        <v>-3.3999999999999998E-3</v>
      </c>
      <c r="V22" s="17">
        <f>'LK data'!V22-'Z1'!E26</f>
        <v>-6.8999999999999999E-3</v>
      </c>
      <c r="W22" s="17">
        <f>'LK data'!W22-'Z1'!F26</f>
        <v>-1.4E-2</v>
      </c>
      <c r="X22" s="17">
        <f>'LK data'!X22-'Z1'!G26</f>
        <v>-2.8500000000000001E-2</v>
      </c>
      <c r="Y22" s="17">
        <f>'LK data'!Y22-'Z1'!H26</f>
        <v>-4.3499999999999997E-2</v>
      </c>
      <c r="Z22" s="17">
        <f>'LK data'!Z22-'Z1'!I26</f>
        <v>-5.8799999999999998E-2</v>
      </c>
      <c r="AA22" s="17">
        <f>'LK data'!AA22-'Z1'!J26</f>
        <v>-8.7900000000000006E-2</v>
      </c>
      <c r="AB22" s="17">
        <f>'LK data'!AB22-'Z1'!K26</f>
        <v>-6.0900000000000003E-2</v>
      </c>
      <c r="AC22" s="17">
        <f>'LK data'!AC22-'Z1'!L26</f>
        <v>-6.7799999999999999E-2</v>
      </c>
      <c r="AD22" s="17">
        <f>'LK data'!AD22-'Z1'!M26</f>
        <v>-8.2400000000000001E-2</v>
      </c>
      <c r="AE22" s="17">
        <f>'LK data'!AE22-'Z1'!N26</f>
        <v>-0.1118</v>
      </c>
      <c r="AF22" s="17">
        <f>'LK data'!AF22-'Z1'!O26</f>
        <v>-0.16719999999999999</v>
      </c>
      <c r="AG22" s="17">
        <f>'LK data'!AG22-'Z1'!P26</f>
        <v>-0.2185</v>
      </c>
      <c r="AH22" s="17">
        <f>'LK data'!AH22-'Z1'!Q26</f>
        <v>-0.28999999999999998</v>
      </c>
    </row>
    <row r="23" spans="2:34" x14ac:dyDescent="0.25">
      <c r="B23">
        <v>1.01</v>
      </c>
      <c r="C23" s="17">
        <f>'LK data'!C23-Z0!C27</f>
        <v>0.99680000000000002</v>
      </c>
      <c r="D23" s="17">
        <f>'LK data'!D23-Z0!D27</f>
        <v>0.98370000000000002</v>
      </c>
      <c r="E23" s="17">
        <f>'LK data'!E23-Z0!E27</f>
        <v>0.96689999999999998</v>
      </c>
      <c r="F23" s="17">
        <f>'LK data'!F23-Z0!F27</f>
        <v>0.93220000000000003</v>
      </c>
      <c r="G23" s="17">
        <f>'LK data'!G23-Z0!G27</f>
        <v>0.85609999999999997</v>
      </c>
      <c r="H23" s="17">
        <f>'LK data'!H23-Z0!H27</f>
        <v>0.7671</v>
      </c>
      <c r="I23" s="17">
        <f>'LK data'!I23-Z0!I27</f>
        <v>0.6542</v>
      </c>
      <c r="J23" s="17">
        <f>'LK data'!J23-Z0!J27</f>
        <v>0.46479999999999999</v>
      </c>
      <c r="K23" s="17">
        <f>'LK data'!K23-Z0!K27</f>
        <v>0.23699999999999999</v>
      </c>
      <c r="L23" s="17">
        <f>'LK data'!L23-Z0!L27</f>
        <v>0.26400000000000001</v>
      </c>
      <c r="M23" s="17">
        <f>'LK data'!M23-Z0!M27</f>
        <v>0.32600000000000001</v>
      </c>
      <c r="N23" s="17">
        <f>'LK data'!N23-Z0!N27</f>
        <v>0.45329999999999998</v>
      </c>
      <c r="O23" s="17">
        <f>'LK data'!O23-Z0!O27</f>
        <v>0.69910000000000005</v>
      </c>
      <c r="P23" s="17">
        <f>'LK data'!P23-Z0!P27</f>
        <v>0.93389999999999995</v>
      </c>
      <c r="Q23" s="17">
        <f>'LK data'!Q23-Z0!Q27</f>
        <v>1.2709999999999999</v>
      </c>
      <c r="S23">
        <v>1.01</v>
      </c>
      <c r="T23" s="17">
        <f>'LK data'!T23-'Z1'!C27</f>
        <v>-5.9999999999999995E-4</v>
      </c>
      <c r="U23" s="17">
        <f>'LK data'!U23-'Z1'!D27</f>
        <v>-3.0000000000000001E-3</v>
      </c>
      <c r="V23" s="17">
        <f>'LK data'!V23-'Z1'!E27</f>
        <v>-6.0000000000000001E-3</v>
      </c>
      <c r="W23" s="17">
        <f>'LK data'!W23-'Z1'!F27</f>
        <v>-1.2E-2</v>
      </c>
      <c r="X23" s="17">
        <f>'LK data'!X23-'Z1'!G27</f>
        <v>-2.4E-2</v>
      </c>
      <c r="Y23" s="17">
        <f>'LK data'!Y23-'Z1'!H27</f>
        <v>-3.5099999999999999E-2</v>
      </c>
      <c r="Z23" s="17">
        <f>'LK data'!Z23-'Z1'!I27</f>
        <v>-4.2900000000000001E-2</v>
      </c>
      <c r="AA23" s="17">
        <f>'LK data'!AA23-'Z1'!J27</f>
        <v>-2.23E-2</v>
      </c>
      <c r="AB23" s="17">
        <f>'LK data'!AB23-'Z1'!K27</f>
        <v>-4.7300000000000002E-2</v>
      </c>
      <c r="AC23" s="17">
        <f>'LK data'!AC23-'Z1'!L27</f>
        <v>-6.2100000000000002E-2</v>
      </c>
      <c r="AD23" s="17">
        <f>'LK data'!AD23-'Z1'!M27</f>
        <v>-7.7799999999999994E-2</v>
      </c>
      <c r="AE23" s="17">
        <f>'LK data'!AE23-'Z1'!N27</f>
        <v>-0.1072</v>
      </c>
      <c r="AF23" s="17">
        <f>'LK data'!AF23-'Z1'!O27</f>
        <v>-0.1615</v>
      </c>
      <c r="AG23" s="17">
        <f>'LK data'!AG23-'Z1'!P27</f>
        <v>-0.21160000000000001</v>
      </c>
      <c r="AH23" s="17">
        <f>'LK data'!AH23-'Z1'!Q27</f>
        <v>-0.28160000000000002</v>
      </c>
    </row>
    <row r="24" spans="2:34" x14ac:dyDescent="0.25">
      <c r="B24">
        <v>1.02</v>
      </c>
      <c r="C24" s="17">
        <f>'LK data'!C24-Z0!C28</f>
        <v>0.99690000000000001</v>
      </c>
      <c r="D24" s="17">
        <f>'LK data'!D24-Z0!D28</f>
        <v>0.98419999999999996</v>
      </c>
      <c r="E24" s="17">
        <f>'LK data'!E24-Z0!E28</f>
        <v>0.96789999999999998</v>
      </c>
      <c r="F24" s="17">
        <f>'LK data'!F24-Z0!F28</f>
        <v>0.93430000000000002</v>
      </c>
      <c r="G24" s="17">
        <f>'LK data'!G24-Z0!G28</f>
        <v>0.86099999999999999</v>
      </c>
      <c r="H24" s="17">
        <f>'LK data'!H24-Z0!H28</f>
        <v>0.77610000000000001</v>
      </c>
      <c r="I24" s="17">
        <f>'LK data'!I24-Z0!I28</f>
        <v>0.67100000000000004</v>
      </c>
      <c r="J24" s="17">
        <f>'LK data'!J24-Z0!J28</f>
        <v>0.51459999999999995</v>
      </c>
      <c r="K24" s="17">
        <f>'LK data'!K24-Z0!K28</f>
        <v>0.26290000000000002</v>
      </c>
      <c r="L24" s="17">
        <f>'LK data'!L24-Z0!L28</f>
        <v>0.27150000000000002</v>
      </c>
      <c r="M24" s="17">
        <f>'LK data'!M24-Z0!M28</f>
        <v>0.32969999999999999</v>
      </c>
      <c r="N24" s="17">
        <f>'LK data'!N24-Z0!N28</f>
        <v>0.45469999999999999</v>
      </c>
      <c r="O24" s="17">
        <f>'LK data'!O24-Z0!O28</f>
        <v>0.69799999999999995</v>
      </c>
      <c r="P24" s="17">
        <f>'LK data'!P24-Z0!P28</f>
        <v>0.93069999999999997</v>
      </c>
      <c r="Q24" s="17">
        <f>'LK data'!Q24-Z0!Q28</f>
        <v>1.2649999999999999</v>
      </c>
      <c r="S24">
        <v>1.02</v>
      </c>
      <c r="T24" s="17">
        <f>'LK data'!T24-'Z1'!C28</f>
        <v>-5.0000000000000001E-4</v>
      </c>
      <c r="U24" s="17">
        <f>'LK data'!U24-'Z1'!D28</f>
        <v>-2.5999999999999999E-3</v>
      </c>
      <c r="V24" s="17">
        <f>'LK data'!V24-'Z1'!E28</f>
        <v>-5.1000000000000004E-3</v>
      </c>
      <c r="W24" s="17">
        <f>'LK data'!W24-'Z1'!F28</f>
        <v>-1.0200000000000001E-2</v>
      </c>
      <c r="X24" s="17">
        <f>'LK data'!X24-'Z1'!G28</f>
        <v>-1.9800000000000002E-2</v>
      </c>
      <c r="Y24" s="17">
        <f>'LK data'!Y24-'Z1'!H28</f>
        <v>-2.7699999999999999E-2</v>
      </c>
      <c r="Z24" s="17">
        <f>'LK data'!Z24-'Z1'!I28</f>
        <v>-3.0300000000000001E-2</v>
      </c>
      <c r="AA24" s="17">
        <f>'LK data'!AA24-'Z1'!J28</f>
        <v>-6.1999999999999998E-3</v>
      </c>
      <c r="AB24" s="17">
        <f>'LK data'!AB24-'Z1'!K28</f>
        <v>2.2700000000000001E-2</v>
      </c>
      <c r="AC24" s="17">
        <f>'LK data'!AC24-'Z1'!L28</f>
        <v>-5.2400000000000002E-2</v>
      </c>
      <c r="AD24" s="17">
        <f>'LK data'!AD24-'Z1'!M28</f>
        <v>-7.22E-2</v>
      </c>
      <c r="AE24" s="17">
        <f>'LK data'!AE24-'Z1'!N28</f>
        <v>-0.1021</v>
      </c>
      <c r="AF24" s="17">
        <f>'LK data'!AF24-'Z1'!O28</f>
        <v>-0.15559999999999999</v>
      </c>
      <c r="AG24" s="17">
        <f>'LK data'!AG24-'Z1'!P28</f>
        <v>-0.20469999999999999</v>
      </c>
      <c r="AH24" s="17">
        <f>'LK data'!AH24-'Z1'!Q28</f>
        <v>-0.27310000000000001</v>
      </c>
    </row>
    <row r="25" spans="2:34" x14ac:dyDescent="0.25">
      <c r="B25">
        <v>1.05</v>
      </c>
      <c r="C25" s="17">
        <f>'LK data'!C25-Z0!C29</f>
        <v>0.99709999999999999</v>
      </c>
      <c r="D25" s="17">
        <f>'LK data'!D25-Z0!D29</f>
        <v>0.98550000000000004</v>
      </c>
      <c r="E25" s="17">
        <f>'LK data'!E25-Z0!E29</f>
        <v>0.97070000000000001</v>
      </c>
      <c r="F25" s="17">
        <f>'LK data'!F25-Z0!F29</f>
        <v>0.94010000000000005</v>
      </c>
      <c r="G25" s="17">
        <f>'LK data'!G25-Z0!G29</f>
        <v>0.87429999999999997</v>
      </c>
      <c r="H25" s="17">
        <f>'LK data'!H25-Z0!H29</f>
        <v>0.80020000000000002</v>
      </c>
      <c r="I25" s="17">
        <f>'LK data'!I25-Z0!I29</f>
        <v>0.71299999999999997</v>
      </c>
      <c r="J25" s="17">
        <f>'LK data'!J25-Z0!J29</f>
        <v>0.60260000000000002</v>
      </c>
      <c r="K25" s="17">
        <f>'LK data'!K25-Z0!K29</f>
        <v>0.44369999999999998</v>
      </c>
      <c r="L25" s="17">
        <f>'LK data'!L25-Z0!L29</f>
        <v>0.31309999999999999</v>
      </c>
      <c r="M25" s="17">
        <f>'LK data'!M25-Z0!M29</f>
        <v>0.34520000000000001</v>
      </c>
      <c r="N25" s="17">
        <f>'LK data'!N25-Z0!N29</f>
        <v>0.46039999999999998</v>
      </c>
      <c r="O25" s="17">
        <f>'LK data'!O25-Z0!O29</f>
        <v>0.6956</v>
      </c>
      <c r="P25" s="17">
        <f>'LK data'!P25-Z0!P29</f>
        <v>0.92220000000000002</v>
      </c>
      <c r="Q25" s="17">
        <f>'LK data'!Q25-Z0!Q29</f>
        <v>1.2481</v>
      </c>
      <c r="S25">
        <v>1.05</v>
      </c>
      <c r="T25" s="17">
        <f>'LK data'!T25-'Z1'!C29</f>
        <v>-2.9999999999999997E-4</v>
      </c>
      <c r="U25" s="17">
        <f>'LK data'!U25-'Z1'!D29</f>
        <v>-1.5E-3</v>
      </c>
      <c r="V25" s="17">
        <f>'LK data'!V25-'Z1'!E29</f>
        <v>-2.8999999999999998E-3</v>
      </c>
      <c r="W25" s="17">
        <f>'LK data'!W25-'Z1'!F29</f>
        <v>-5.4000000000000003E-3</v>
      </c>
      <c r="X25" s="17">
        <f>'LK data'!X25-'Z1'!G29</f>
        <v>-9.1999999999999998E-3</v>
      </c>
      <c r="Y25" s="17">
        <f>'LK data'!Y25-'Z1'!H29</f>
        <v>-9.7000000000000003E-3</v>
      </c>
      <c r="Z25" s="17">
        <f>'LK data'!Z25-'Z1'!I29</f>
        <v>-3.2000000000000002E-3</v>
      </c>
      <c r="AA25" s="17">
        <f>'LK data'!AA25-'Z1'!J29</f>
        <v>2.1999999999999999E-2</v>
      </c>
      <c r="AB25" s="17">
        <f>'LK data'!AB25-'Z1'!K29</f>
        <v>0.10589999999999999</v>
      </c>
      <c r="AC25" s="17">
        <f>'LK data'!AC25-'Z1'!L29</f>
        <v>4.5100000000000001E-2</v>
      </c>
      <c r="AD25" s="17">
        <f>'LK data'!AD25-'Z1'!M29</f>
        <v>-4.3200000000000002E-2</v>
      </c>
      <c r="AE25" s="17">
        <f>'LK data'!AE25-'Z1'!N29</f>
        <v>-8.3799999999999999E-2</v>
      </c>
      <c r="AF25" s="17">
        <f>'LK data'!AF25-'Z1'!O29</f>
        <v>-0.13700000000000001</v>
      </c>
      <c r="AG25" s="17">
        <f>'LK data'!AG25-'Z1'!P29</f>
        <v>-0.1835</v>
      </c>
      <c r="AH25" s="17">
        <f>'LK data'!AH25-'Z1'!Q29</f>
        <v>-0.24759999999999999</v>
      </c>
    </row>
    <row r="26" spans="2:34" x14ac:dyDescent="0.25">
      <c r="B26">
        <v>1.1000000000000001</v>
      </c>
      <c r="C26" s="17">
        <f>'LK data'!C26-Z0!C30</f>
        <v>0.99750000000000005</v>
      </c>
      <c r="D26" s="17">
        <f>'LK data'!D26-Z0!D30</f>
        <v>0.98740000000000006</v>
      </c>
      <c r="E26" s="17">
        <f>'LK data'!E26-Z0!E30</f>
        <v>0.97470000000000001</v>
      </c>
      <c r="F26" s="17">
        <f>'LK data'!F26-Z0!F30</f>
        <v>0.94850000000000001</v>
      </c>
      <c r="G26" s="17">
        <f>'LK data'!G26-Z0!G30</f>
        <v>0.89300000000000002</v>
      </c>
      <c r="H26" s="17">
        <f>'LK data'!H26-Z0!H30</f>
        <v>0.83230000000000004</v>
      </c>
      <c r="I26" s="17">
        <f>'LK data'!I26-Z0!I30</f>
        <v>0.76490000000000002</v>
      </c>
      <c r="J26" s="17">
        <f>'LK data'!J26-Z0!J30</f>
        <v>0.68799999999999994</v>
      </c>
      <c r="K26" s="17">
        <f>'LK data'!K26-Z0!K30</f>
        <v>0.59840000000000004</v>
      </c>
      <c r="L26" s="17">
        <f>'LK data'!L26-Z0!L30</f>
        <v>0.45800000000000002</v>
      </c>
      <c r="M26" s="17">
        <f>'LK data'!M26-Z0!M30</f>
        <v>0.39529999999999998</v>
      </c>
      <c r="N26" s="17">
        <f>'LK data'!N26-Z0!N30</f>
        <v>0.47699999999999998</v>
      </c>
      <c r="O26" s="17">
        <f>'LK data'!O26-Z0!O30</f>
        <v>0.69499999999999995</v>
      </c>
      <c r="P26" s="17">
        <f>'LK data'!P26-Z0!P30</f>
        <v>0.91100000000000003</v>
      </c>
      <c r="Q26" s="17">
        <f>'LK data'!Q26-Z0!Q30</f>
        <v>1.2232000000000001</v>
      </c>
      <c r="S26">
        <v>1.1000000000000001</v>
      </c>
      <c r="T26" s="17">
        <f>'LK data'!T26-'Z1'!C30</f>
        <v>0</v>
      </c>
      <c r="U26" s="17">
        <f>'LK data'!U26-'Z1'!D30</f>
        <v>0</v>
      </c>
      <c r="V26" s="17">
        <f>'LK data'!V26-'Z1'!E30</f>
        <v>1E-4</v>
      </c>
      <c r="W26" s="17">
        <f>'LK data'!W26-'Z1'!F30</f>
        <v>6.9999999999999999E-4</v>
      </c>
      <c r="X26" s="17">
        <f>'LK data'!X26-'Z1'!G30</f>
        <v>3.8E-3</v>
      </c>
      <c r="Y26" s="17">
        <f>'LK data'!Y26-'Z1'!H30</f>
        <v>1.06E-2</v>
      </c>
      <c r="Z26" s="17">
        <f>'LK data'!Z26-'Z1'!I30</f>
        <v>2.3599999999999999E-2</v>
      </c>
      <c r="AA26" s="17">
        <f>'LK data'!AA26-'Z1'!J30</f>
        <v>4.7600000000000003E-2</v>
      </c>
      <c r="AB26" s="17">
        <f>'LK data'!AB26-'Z1'!K30</f>
        <v>8.9700000000000002E-2</v>
      </c>
      <c r="AC26" s="17">
        <f>'LK data'!AC26-'Z1'!L30</f>
        <v>0.16300000000000001</v>
      </c>
      <c r="AD26" s="17">
        <f>'LK data'!AD26-'Z1'!M30</f>
        <v>6.9800000000000001E-2</v>
      </c>
      <c r="AE26" s="17">
        <f>'LK data'!AE26-'Z1'!N30</f>
        <v>-3.73E-2</v>
      </c>
      <c r="AF26" s="17">
        <f>'LK data'!AF26-'Z1'!O30</f>
        <v>-0.1021</v>
      </c>
      <c r="AG26" s="17">
        <f>'LK data'!AG26-'Z1'!P30</f>
        <v>-0.1469</v>
      </c>
      <c r="AH26" s="17">
        <f>'LK data'!AH26-'Z1'!Q30</f>
        <v>-0.2056</v>
      </c>
    </row>
    <row r="27" spans="2:34" x14ac:dyDescent="0.25">
      <c r="B27">
        <v>1.1499999999999999</v>
      </c>
      <c r="C27" s="17">
        <f>'LK data'!C27-Z0!C31</f>
        <v>0.99780000000000002</v>
      </c>
      <c r="D27" s="17">
        <f>'LK data'!D27-Z0!D31</f>
        <v>0.98909999999999998</v>
      </c>
      <c r="E27" s="17">
        <f>'LK data'!E27-Z0!E31</f>
        <v>0.97799999999999998</v>
      </c>
      <c r="F27" s="17">
        <f>'LK data'!F27-Z0!F31</f>
        <v>0.95540000000000003</v>
      </c>
      <c r="G27" s="17">
        <f>'LK data'!G27-Z0!G31</f>
        <v>0.90810000000000002</v>
      </c>
      <c r="H27" s="17">
        <f>'LK data'!H27-Z0!H31</f>
        <v>0.85760000000000003</v>
      </c>
      <c r="I27" s="17">
        <f>'LK data'!I27-Z0!I31</f>
        <v>0.80320000000000003</v>
      </c>
      <c r="J27" s="17">
        <f>'LK data'!J27-Z0!J31</f>
        <v>0.74429999999999996</v>
      </c>
      <c r="K27" s="17">
        <f>'LK data'!K27-Z0!K31</f>
        <v>0.68030000000000002</v>
      </c>
      <c r="L27" s="17">
        <f>'LK data'!L27-Z0!L31</f>
        <v>0.57979999999999998</v>
      </c>
      <c r="M27" s="17">
        <f>'LK data'!M27-Z0!M31</f>
        <v>0.47599999999999998</v>
      </c>
      <c r="N27" s="17">
        <f>'LK data'!N27-Z0!N31</f>
        <v>0.50419999999999998</v>
      </c>
      <c r="O27" s="17">
        <f>'LK data'!O27-Z0!O31</f>
        <v>0.69869999999999999</v>
      </c>
      <c r="P27" s="17">
        <f>'LK data'!P27-Z0!P31</f>
        <v>0.90329999999999999</v>
      </c>
      <c r="Q27" s="17">
        <f>'LK data'!Q27-Z0!Q31</f>
        <v>1.2020999999999999</v>
      </c>
      <c r="S27">
        <v>1.1499999999999999</v>
      </c>
      <c r="T27" s="17">
        <f>'LK data'!T27-'Z1'!C31</f>
        <v>2.0000000000000001E-4</v>
      </c>
      <c r="U27" s="17">
        <f>'LK data'!U27-'Z1'!D31</f>
        <v>1.1000000000000001E-3</v>
      </c>
      <c r="V27" s="17">
        <f>'LK data'!V27-'Z1'!E31</f>
        <v>2.3E-3</v>
      </c>
      <c r="W27" s="17">
        <f>'LK data'!W27-'Z1'!F31</f>
        <v>5.1999999999999998E-3</v>
      </c>
      <c r="X27" s="17">
        <f>'LK data'!X27-'Z1'!G31</f>
        <v>1.2699999999999999E-2</v>
      </c>
      <c r="Y27" s="17">
        <f>'LK data'!Y27-'Z1'!H31</f>
        <v>2.3699999999999999E-2</v>
      </c>
      <c r="Z27" s="17">
        <f>'LK data'!Z27-'Z1'!I31</f>
        <v>3.9600000000000003E-2</v>
      </c>
      <c r="AA27" s="17">
        <f>'LK data'!AA27-'Z1'!J31</f>
        <v>6.25E-2</v>
      </c>
      <c r="AB27" s="17">
        <f>'LK data'!AB27-'Z1'!K31</f>
        <v>9.4299999999999995E-2</v>
      </c>
      <c r="AC27" s="17">
        <f>'LK data'!AC27-'Z1'!L31</f>
        <v>0.15479999999999999</v>
      </c>
      <c r="AD27" s="17">
        <f>'LK data'!AD27-'Z1'!M31</f>
        <v>0.16669999999999999</v>
      </c>
      <c r="AE27" s="17">
        <f>'LK data'!AE27-'Z1'!N31</f>
        <v>3.32E-2</v>
      </c>
      <c r="AF27" s="17">
        <f>'LK data'!AF27-'Z1'!O31</f>
        <v>-6.1100000000000002E-2</v>
      </c>
      <c r="AG27" s="17">
        <f>'LK data'!AG27-'Z1'!P31</f>
        <v>-0.1084</v>
      </c>
      <c r="AH27" s="17">
        <f>'LK data'!AH27-'Z1'!Q31</f>
        <v>-0.16420000000000001</v>
      </c>
    </row>
    <row r="28" spans="2:34" x14ac:dyDescent="0.25">
      <c r="B28">
        <v>1.2</v>
      </c>
      <c r="C28" s="17">
        <f>'LK data'!C28-Z0!C32</f>
        <v>0.99809999999999999</v>
      </c>
      <c r="D28" s="17">
        <f>'LK data'!D28-Z0!D32</f>
        <v>0.99039999999999995</v>
      </c>
      <c r="E28" s="17">
        <f>'LK data'!E28-Z0!E32</f>
        <v>0.98080000000000001</v>
      </c>
      <c r="F28" s="17">
        <f>'LK data'!F28-Z0!F32</f>
        <v>0.96109999999999995</v>
      </c>
      <c r="G28" s="17">
        <f>'LK data'!G28-Z0!G32</f>
        <v>0.92049999999999998</v>
      </c>
      <c r="H28" s="17">
        <f>'LK data'!H28-Z0!H32</f>
        <v>0.87790000000000001</v>
      </c>
      <c r="I28" s="17">
        <f>'LK data'!I28-Z0!I32</f>
        <v>0.83299999999999996</v>
      </c>
      <c r="J28" s="17">
        <f>'LK data'!J28-Z0!J32</f>
        <v>0.78580000000000005</v>
      </c>
      <c r="K28" s="17">
        <f>'LK data'!K28-Z0!K32</f>
        <v>0.73629999999999995</v>
      </c>
      <c r="L28" s="17">
        <f>'LK data'!L28-Z0!L32</f>
        <v>0.66049999999999998</v>
      </c>
      <c r="M28" s="17">
        <f>'LK data'!M28-Z0!M32</f>
        <v>0.5605</v>
      </c>
      <c r="N28" s="17">
        <f>'LK data'!N28-Z0!N32</f>
        <v>0.54249999999999998</v>
      </c>
      <c r="O28" s="17">
        <f>'LK data'!O28-Z0!O32</f>
        <v>0.70689999999999997</v>
      </c>
      <c r="P28" s="17">
        <f>'LK data'!P28-Z0!P32</f>
        <v>0.89900000000000002</v>
      </c>
      <c r="Q28" s="17">
        <f>'LK data'!Q28-Z0!Q32</f>
        <v>1.1843999999999999</v>
      </c>
      <c r="S28">
        <v>1.2</v>
      </c>
      <c r="T28" s="17">
        <f>'LK data'!T28-'Z1'!C32</f>
        <v>4.0000000000000002E-4</v>
      </c>
      <c r="U28" s="17">
        <f>'LK data'!U28-'Z1'!D32</f>
        <v>1.9E-3</v>
      </c>
      <c r="V28" s="17">
        <f>'LK data'!V28-'Z1'!E32</f>
        <v>3.8999999999999998E-3</v>
      </c>
      <c r="W28" s="17">
        <f>'LK data'!W28-'Z1'!F32</f>
        <v>8.3999999999999995E-3</v>
      </c>
      <c r="X28" s="17">
        <f>'LK data'!X28-'Z1'!G32</f>
        <v>1.9E-2</v>
      </c>
      <c r="Y28" s="17">
        <f>'LK data'!Y28-'Z1'!H32</f>
        <v>3.2599999999999997E-2</v>
      </c>
      <c r="Z28" s="17">
        <f>'LK data'!Z28-'Z1'!I32</f>
        <v>4.99E-2</v>
      </c>
      <c r="AA28" s="17">
        <f>'LK data'!AA28-'Z1'!J32</f>
        <v>7.1900000000000006E-2</v>
      </c>
      <c r="AB28" s="17">
        <f>'LK data'!AB28-'Z1'!K32</f>
        <v>9.9099999999999994E-2</v>
      </c>
      <c r="AC28" s="17">
        <f>'LK data'!AC28-'Z1'!L32</f>
        <v>0.1477</v>
      </c>
      <c r="AD28" s="17">
        <f>'LK data'!AD28-'Z1'!M32</f>
        <v>0.19900000000000001</v>
      </c>
      <c r="AE28" s="17">
        <f>'LK data'!AE28-'Z1'!N32</f>
        <v>0.1095</v>
      </c>
      <c r="AF28" s="17">
        <f>'LK data'!AF28-'Z1'!O32</f>
        <v>-1.41E-2</v>
      </c>
      <c r="AG28" s="17">
        <f>'LK data'!AG28-'Z1'!P32</f>
        <v>-6.7799999999999999E-2</v>
      </c>
      <c r="AH28" s="17">
        <f>'LK data'!AH28-'Z1'!Q32</f>
        <v>-0.1231</v>
      </c>
    </row>
    <row r="29" spans="2:34" x14ac:dyDescent="0.25">
      <c r="B29">
        <v>1.3</v>
      </c>
      <c r="C29" s="17">
        <f>'LK data'!C29-Z0!C33</f>
        <v>0.99850000000000005</v>
      </c>
      <c r="D29" s="17">
        <f>'LK data'!D29-Z0!D33</f>
        <v>0.99260000000000004</v>
      </c>
      <c r="E29" s="17">
        <f>'LK data'!E29-Z0!E33</f>
        <v>0.98519999999999996</v>
      </c>
      <c r="F29" s="17">
        <f>'LK data'!F29-Z0!F33</f>
        <v>0.97019999999999995</v>
      </c>
      <c r="G29" s="17">
        <f>'LK data'!G29-Z0!G33</f>
        <v>0.93959999999999999</v>
      </c>
      <c r="H29" s="17">
        <f>'LK data'!H29-Z0!H33</f>
        <v>0.9083</v>
      </c>
      <c r="I29" s="17">
        <f>'LK data'!I29-Z0!I33</f>
        <v>0.87639999999999996</v>
      </c>
      <c r="J29" s="17">
        <f>'LK data'!J29-Z0!J33</f>
        <v>0.84379999999999999</v>
      </c>
      <c r="K29" s="17">
        <f>'LK data'!K29-Z0!K33</f>
        <v>0.81110000000000004</v>
      </c>
      <c r="L29" s="17">
        <f>'LK data'!L29-Z0!L33</f>
        <v>0.76239999999999997</v>
      </c>
      <c r="M29" s="17">
        <f>'LK data'!M29-Z0!M33</f>
        <v>0.69079999999999997</v>
      </c>
      <c r="N29" s="17">
        <f>'LK data'!N29-Z0!N33</f>
        <v>0.63439999999999996</v>
      </c>
      <c r="O29" s="17">
        <f>'LK data'!O29-Z0!O33</f>
        <v>0.73580000000000001</v>
      </c>
      <c r="P29" s="17">
        <f>'LK data'!P29-Z0!P33</f>
        <v>0.89980000000000004</v>
      </c>
      <c r="Q29" s="17">
        <f>'LK data'!Q29-Z0!Q33</f>
        <v>1.1579999999999999</v>
      </c>
      <c r="S29">
        <v>1.3</v>
      </c>
      <c r="T29" s="17">
        <f>'LK data'!T29-'Z1'!C33</f>
        <v>5.9999999999999995E-4</v>
      </c>
      <c r="U29" s="17">
        <f>'LK data'!U29-'Z1'!D33</f>
        <v>3.0000000000000001E-3</v>
      </c>
      <c r="V29" s="17">
        <f>'LK data'!V29-'Z1'!E33</f>
        <v>6.1000000000000004E-3</v>
      </c>
      <c r="W29" s="17">
        <f>'LK data'!W29-'Z1'!F33</f>
        <v>1.2500000000000001E-2</v>
      </c>
      <c r="X29" s="17">
        <f>'LK data'!X29-'Z1'!G33</f>
        <v>2.6700000000000002E-2</v>
      </c>
      <c r="Y29" s="17">
        <f>'LK data'!Y29-'Z1'!H33</f>
        <v>4.2900000000000001E-2</v>
      </c>
      <c r="Z29" s="17">
        <f>'LK data'!Z29-'Z1'!I33</f>
        <v>6.1199999999999997E-2</v>
      </c>
      <c r="AA29" s="17">
        <f>'LK data'!AA29-'Z1'!J33</f>
        <v>8.1900000000000001E-2</v>
      </c>
      <c r="AB29" s="17">
        <f>'LK data'!AB29-'Z1'!K33</f>
        <v>0.1048</v>
      </c>
      <c r="AC29" s="17">
        <f>'LK data'!AC29-'Z1'!L33</f>
        <v>0.14199999999999999</v>
      </c>
      <c r="AD29" s="17">
        <f>'LK data'!AD29-'Z1'!M33</f>
        <v>0.1991</v>
      </c>
      <c r="AE29" s="17">
        <f>'LK data'!AE29-'Z1'!N33</f>
        <v>0.2079</v>
      </c>
      <c r="AF29" s="17">
        <f>'LK data'!AF29-'Z1'!O33</f>
        <v>8.7499999999999994E-2</v>
      </c>
      <c r="AG29" s="17">
        <f>'LK data'!AG29-'Z1'!P33</f>
        <v>1.7600000000000001E-2</v>
      </c>
      <c r="AH29" s="17">
        <f>'LK data'!AH29-'Z1'!Q33</f>
        <v>-4.2299999999999997E-2</v>
      </c>
    </row>
    <row r="30" spans="2:34" x14ac:dyDescent="0.25">
      <c r="B30">
        <v>1.4</v>
      </c>
      <c r="C30" s="17">
        <f>'LK data'!C30-Z0!C34</f>
        <v>0.99880000000000002</v>
      </c>
      <c r="D30" s="17">
        <f>'LK data'!D30-Z0!D34</f>
        <v>0.99419999999999997</v>
      </c>
      <c r="E30" s="17">
        <f>'LK data'!E30-Z0!E34</f>
        <v>0.98839999999999995</v>
      </c>
      <c r="F30" s="17">
        <f>'LK data'!F30-Z0!F34</f>
        <v>0.9768</v>
      </c>
      <c r="G30" s="17">
        <f>'LK data'!G30-Z0!G34</f>
        <v>0.95340000000000003</v>
      </c>
      <c r="H30" s="17">
        <f>'LK data'!H30-Z0!H34</f>
        <v>0.92979999999999996</v>
      </c>
      <c r="I30" s="17">
        <f>'LK data'!I30-Z0!I34</f>
        <v>0.90620000000000001</v>
      </c>
      <c r="J30" s="17">
        <f>'LK data'!J30-Z0!J34</f>
        <v>0.88270000000000004</v>
      </c>
      <c r="K30" s="17">
        <f>'LK data'!K30-Z0!K34</f>
        <v>0.85950000000000004</v>
      </c>
      <c r="L30" s="17">
        <f>'LK data'!L30-Z0!L34</f>
        <v>0.8256</v>
      </c>
      <c r="M30" s="17">
        <f>'LK data'!M30-Z0!M34</f>
        <v>0.77529999999999999</v>
      </c>
      <c r="N30" s="17">
        <f>'LK data'!N30-Z0!N34</f>
        <v>0.72019999999999995</v>
      </c>
      <c r="O30" s="17">
        <f>'LK data'!O30-Z0!O34</f>
        <v>0.77610000000000001</v>
      </c>
      <c r="P30" s="17">
        <f>'LK data'!P30-Z0!P34</f>
        <v>0.91120000000000001</v>
      </c>
      <c r="Q30" s="17">
        <f>'LK data'!Q30-Z0!Q34</f>
        <v>1.1418999999999999</v>
      </c>
      <c r="S30">
        <v>1.4</v>
      </c>
      <c r="T30" s="17">
        <f>'LK data'!T30-'Z1'!C34</f>
        <v>6.9999999999999999E-4</v>
      </c>
      <c r="U30" s="17">
        <f>'LK data'!U30-'Z1'!D34</f>
        <v>3.5999999999999999E-3</v>
      </c>
      <c r="V30" s="17">
        <f>'LK data'!V30-'Z1'!E34</f>
        <v>7.1999999999999998E-3</v>
      </c>
      <c r="W30" s="17">
        <f>'LK data'!W30-'Z1'!F34</f>
        <v>1.47E-2</v>
      </c>
      <c r="X30" s="17">
        <f>'LK data'!X30-'Z1'!G34</f>
        <v>3.0599999999999999E-2</v>
      </c>
      <c r="Y30" s="17">
        <f>'LK data'!Y30-'Z1'!H34</f>
        <v>4.7699999999999999E-2</v>
      </c>
      <c r="Z30" s="17">
        <f>'LK data'!Z30-'Z1'!I34</f>
        <v>6.6100000000000006E-2</v>
      </c>
      <c r="AA30" s="17">
        <f>'LK data'!AA30-'Z1'!J34</f>
        <v>8.5699999999999998E-2</v>
      </c>
      <c r="AB30" s="17">
        <f>'LK data'!AB30-'Z1'!K34</f>
        <v>0.10630000000000001</v>
      </c>
      <c r="AC30" s="17">
        <f>'LK data'!AC30-'Z1'!L34</f>
        <v>0.13830000000000001</v>
      </c>
      <c r="AD30" s="17">
        <f>'LK data'!AD30-'Z1'!M34</f>
        <v>0.18940000000000001</v>
      </c>
      <c r="AE30" s="17">
        <f>'LK data'!AE30-'Z1'!N34</f>
        <v>0.2397</v>
      </c>
      <c r="AF30" s="17">
        <f>'LK data'!AF30-'Z1'!O34</f>
        <v>0.17369999999999999</v>
      </c>
      <c r="AG30" s="17">
        <f>'LK data'!AG30-'Z1'!P34</f>
        <v>0.1008</v>
      </c>
      <c r="AH30" s="17">
        <f>'LK data'!AH30-'Z1'!Q34</f>
        <v>3.5000000000000003E-2</v>
      </c>
    </row>
    <row r="31" spans="2:34" x14ac:dyDescent="0.25">
      <c r="B31">
        <v>1.5</v>
      </c>
      <c r="C31" s="17">
        <f>'LK data'!C31-Z0!C35</f>
        <v>0.99909999999999999</v>
      </c>
      <c r="D31" s="17">
        <f>'LK data'!D31-Z0!D35</f>
        <v>0.99539999999999995</v>
      </c>
      <c r="E31" s="17">
        <f>'LK data'!E31-Z0!E35</f>
        <v>0.9909</v>
      </c>
      <c r="F31" s="17">
        <f>'LK data'!F31-Z0!F35</f>
        <v>0.98180000000000001</v>
      </c>
      <c r="G31" s="17">
        <f>'LK data'!G31-Z0!G35</f>
        <v>0.96360000000000001</v>
      </c>
      <c r="H31" s="17">
        <f>'LK data'!H31-Z0!H35</f>
        <v>0.9456</v>
      </c>
      <c r="I31" s="17">
        <f>'LK data'!I31-Z0!I35</f>
        <v>0.92779999999999996</v>
      </c>
      <c r="J31" s="17">
        <f>'LK data'!J31-Z0!J35</f>
        <v>0.9103</v>
      </c>
      <c r="K31" s="17">
        <f>'LK data'!K31-Z0!K35</f>
        <v>0.89329999999999998</v>
      </c>
      <c r="L31" s="17">
        <f>'LK data'!L31-Z0!L35</f>
        <v>0.86890000000000001</v>
      </c>
      <c r="M31" s="17">
        <f>'LK data'!M31-Z0!M35</f>
        <v>0.83279999999999998</v>
      </c>
      <c r="N31" s="17">
        <f>'LK data'!N31-Z0!N35</f>
        <v>0.78869999999999996</v>
      </c>
      <c r="O31" s="17">
        <f>'LK data'!O31-Z0!O35</f>
        <v>0.82</v>
      </c>
      <c r="P31" s="17">
        <f>'LK data'!P31-Z0!P35</f>
        <v>0.92969999999999997</v>
      </c>
      <c r="Q31" s="17">
        <f>'LK data'!Q31-Z0!Q35</f>
        <v>1.1338999999999999</v>
      </c>
      <c r="S31">
        <v>1.5</v>
      </c>
      <c r="T31" s="17">
        <f>'LK data'!T31-'Z1'!C35</f>
        <v>8.0000000000000004E-4</v>
      </c>
      <c r="U31" s="17">
        <f>'LK data'!U31-'Z1'!D35</f>
        <v>3.8999999999999998E-3</v>
      </c>
      <c r="V31" s="17">
        <f>'LK data'!V31-'Z1'!E35</f>
        <v>7.7999999999999996E-3</v>
      </c>
      <c r="W31" s="17">
        <f>'LK data'!W31-'Z1'!F35</f>
        <v>1.5800000000000002E-2</v>
      </c>
      <c r="X31" s="17">
        <f>'LK data'!X31-'Z1'!G35</f>
        <v>3.2300000000000002E-2</v>
      </c>
      <c r="Y31" s="17">
        <f>'LK data'!Y31-'Z1'!H35</f>
        <v>4.9700000000000001E-2</v>
      </c>
      <c r="Z31" s="17">
        <f>'LK data'!Z31-'Z1'!I35</f>
        <v>6.7699999999999996E-2</v>
      </c>
      <c r="AA31" s="17">
        <f>'LK data'!AA31-'Z1'!J35</f>
        <v>8.6400000000000005E-2</v>
      </c>
      <c r="AB31" s="17">
        <f>'LK data'!AB31-'Z1'!K35</f>
        <v>0.1055</v>
      </c>
      <c r="AC31" s="17">
        <f>'LK data'!AC31-'Z1'!L35</f>
        <v>0.13450000000000001</v>
      </c>
      <c r="AD31" s="17">
        <f>'LK data'!AD31-'Z1'!M35</f>
        <v>0.18060000000000001</v>
      </c>
      <c r="AE31" s="17">
        <f>'LK data'!AE31-'Z1'!N35</f>
        <v>0.24329999999999999</v>
      </c>
      <c r="AF31" s="17">
        <f>'LK data'!AF31-'Z1'!O35</f>
        <v>0.23089999999999999</v>
      </c>
      <c r="AG31" s="17">
        <f>'LK data'!AG31-'Z1'!P35</f>
        <v>0.17169999999999999</v>
      </c>
      <c r="AH31" s="17">
        <f>'LK data'!AH31-'Z1'!Q35</f>
        <v>0.10580000000000001</v>
      </c>
    </row>
    <row r="32" spans="2:34" x14ac:dyDescent="0.25">
      <c r="B32">
        <v>1.6</v>
      </c>
      <c r="C32" s="17">
        <f>'LK data'!C32-Z0!C36</f>
        <v>0.99929999999999997</v>
      </c>
      <c r="D32" s="17">
        <f>'LK data'!D32-Z0!D36</f>
        <v>0.99639999999999995</v>
      </c>
      <c r="E32" s="17">
        <f>'LK data'!E32-Z0!E36</f>
        <v>0.99280000000000002</v>
      </c>
      <c r="F32" s="17">
        <f>'LK data'!F32-Z0!F36</f>
        <v>0.98560000000000003</v>
      </c>
      <c r="G32" s="17">
        <f>'LK data'!G32-Z0!G36</f>
        <v>0.97140000000000004</v>
      </c>
      <c r="H32" s="17">
        <f>'LK data'!H32-Z0!H36</f>
        <v>0.95750000000000002</v>
      </c>
      <c r="I32" s="17">
        <f>'LK data'!I32-Z0!I36</f>
        <v>0.94389999999999996</v>
      </c>
      <c r="J32" s="17">
        <f>'LK data'!J32-Z0!J36</f>
        <v>0.93079999999999996</v>
      </c>
      <c r="K32" s="17">
        <f>'LK data'!K32-Z0!K36</f>
        <v>0.91800000000000004</v>
      </c>
      <c r="L32" s="17">
        <f>'LK data'!L32-Z0!L36</f>
        <v>0.9</v>
      </c>
      <c r="M32" s="17">
        <f>'LK data'!M32-Z0!M36</f>
        <v>0.87380000000000002</v>
      </c>
      <c r="N32" s="17">
        <f>'LK data'!N32-Z0!N36</f>
        <v>0.84099999999999997</v>
      </c>
      <c r="O32" s="17">
        <f>'LK data'!O32-Z0!O36</f>
        <v>0.86170000000000002</v>
      </c>
      <c r="P32" s="17">
        <f>'LK data'!P32-Z0!P36</f>
        <v>0.95179999999999998</v>
      </c>
      <c r="Q32" s="17">
        <f>'LK data'!Q32-Z0!Q36</f>
        <v>1.1319999999999999</v>
      </c>
      <c r="S32">
        <v>1.6</v>
      </c>
      <c r="T32" s="17">
        <f>'LK data'!T32-'Z1'!C36</f>
        <v>8.0000000000000004E-4</v>
      </c>
      <c r="U32" s="17">
        <f>'LK data'!U32-'Z1'!D36</f>
        <v>4.0000000000000001E-3</v>
      </c>
      <c r="V32" s="17">
        <f>'LK data'!V32-'Z1'!E36</f>
        <v>8.0000000000000002E-3</v>
      </c>
      <c r="W32" s="17">
        <f>'LK data'!W32-'Z1'!F36</f>
        <v>1.6199999999999999E-2</v>
      </c>
      <c r="X32" s="17">
        <f>'LK data'!X32-'Z1'!G36</f>
        <v>3.3000000000000002E-2</v>
      </c>
      <c r="Y32" s="17">
        <f>'LK data'!Y32-'Z1'!H36</f>
        <v>5.0099999999999999E-2</v>
      </c>
      <c r="Z32" s="17">
        <f>'LK data'!Z32-'Z1'!I36</f>
        <v>6.7699999999999996E-2</v>
      </c>
      <c r="AA32" s="17">
        <f>'LK data'!AA32-'Z1'!J36</f>
        <v>8.5500000000000007E-2</v>
      </c>
      <c r="AB32" s="17">
        <f>'LK data'!AB32-'Z1'!K36</f>
        <v>0.10349999999999999</v>
      </c>
      <c r="AC32" s="17">
        <f>'LK data'!AC32-'Z1'!L36</f>
        <v>0.1303</v>
      </c>
      <c r="AD32" s="17">
        <f>'LK data'!AD32-'Z1'!M36</f>
        <v>0.1729</v>
      </c>
      <c r="AE32" s="17">
        <f>'LK data'!AE32-'Z1'!N36</f>
        <v>0.23810000000000001</v>
      </c>
      <c r="AF32" s="17">
        <f>'LK data'!AF32-'Z1'!O36</f>
        <v>0.2631</v>
      </c>
      <c r="AG32" s="17">
        <f>'LK data'!AG32-'Z1'!P36</f>
        <v>0.22550000000000001</v>
      </c>
      <c r="AH32" s="17">
        <f>'LK data'!AH32-'Z1'!Q36</f>
        <v>0.1673</v>
      </c>
    </row>
    <row r="33" spans="2:34" x14ac:dyDescent="0.25">
      <c r="B33">
        <v>1.7</v>
      </c>
      <c r="C33" s="17">
        <f>'LK data'!C33-Z0!C37</f>
        <v>0.99939999999999996</v>
      </c>
      <c r="D33" s="17">
        <f>'LK data'!D33-Z0!D37</f>
        <v>0.99709999999999999</v>
      </c>
      <c r="E33" s="17">
        <f>'LK data'!E33-Z0!E37</f>
        <v>0.99429999999999996</v>
      </c>
      <c r="F33" s="17">
        <f>'LK data'!F33-Z0!F37</f>
        <v>0.98860000000000003</v>
      </c>
      <c r="G33" s="17">
        <f>'LK data'!G33-Z0!G37</f>
        <v>0.97750000000000004</v>
      </c>
      <c r="H33" s="17">
        <f>'LK data'!H33-Z0!H37</f>
        <v>0.9667</v>
      </c>
      <c r="I33" s="17">
        <f>'LK data'!I33-Z0!I37</f>
        <v>0.95630000000000004</v>
      </c>
      <c r="J33" s="17">
        <f>'LK data'!J33-Z0!J37</f>
        <v>0.94630000000000003</v>
      </c>
      <c r="K33" s="17">
        <f>'LK data'!K33-Z0!K37</f>
        <v>0.93669999999999998</v>
      </c>
      <c r="L33" s="17">
        <f>'LK data'!L33-Z0!L37</f>
        <v>0.9234</v>
      </c>
      <c r="M33" s="17">
        <f>'LK data'!M33-Z0!M37</f>
        <v>0.90429999999999999</v>
      </c>
      <c r="N33" s="17">
        <f>'LK data'!N33-Z0!N37</f>
        <v>0.88090000000000002</v>
      </c>
      <c r="O33" s="17">
        <f>'LK data'!O33-Z0!O37</f>
        <v>0.89839999999999998</v>
      </c>
      <c r="P33" s="17">
        <f>'LK data'!P33-Z0!P37</f>
        <v>0.97450000000000003</v>
      </c>
      <c r="Q33" s="17">
        <f>'LK data'!Q33-Z0!Q37</f>
        <v>1.1343000000000001</v>
      </c>
      <c r="S33">
        <v>1.7</v>
      </c>
      <c r="T33" s="17">
        <f>'LK data'!T33-'Z1'!C37</f>
        <v>8.0000000000000004E-4</v>
      </c>
      <c r="U33" s="17">
        <f>'LK data'!U33-'Z1'!D37</f>
        <v>4.0000000000000001E-3</v>
      </c>
      <c r="V33" s="17">
        <f>'LK data'!V33-'Z1'!E37</f>
        <v>8.0999999999999996E-3</v>
      </c>
      <c r="W33" s="17">
        <f>'LK data'!W33-'Z1'!F37</f>
        <v>1.6299999999999999E-2</v>
      </c>
      <c r="X33" s="17">
        <f>'LK data'!X33-'Z1'!G37</f>
        <v>3.2899999999999999E-2</v>
      </c>
      <c r="Y33" s="17">
        <f>'LK data'!Y33-'Z1'!H37</f>
        <v>4.9700000000000001E-2</v>
      </c>
      <c r="Z33" s="17">
        <f>'LK data'!Z33-'Z1'!I37</f>
        <v>6.6699999999999995E-2</v>
      </c>
      <c r="AA33" s="17">
        <f>'LK data'!AA33-'Z1'!J37</f>
        <v>8.3799999999999999E-2</v>
      </c>
      <c r="AB33" s="17">
        <f>'LK data'!AB33-'Z1'!K37</f>
        <v>0.1008</v>
      </c>
      <c r="AC33" s="17">
        <f>'LK data'!AC33-'Z1'!L37</f>
        <v>0.12590000000000001</v>
      </c>
      <c r="AD33" s="17">
        <f>'LK data'!AD33-'Z1'!M37</f>
        <v>0.1658</v>
      </c>
      <c r="AE33" s="17">
        <f>'LK data'!AE33-'Z1'!N37</f>
        <v>0.23050000000000001</v>
      </c>
      <c r="AF33" s="17">
        <f>'LK data'!AF33-'Z1'!O37</f>
        <v>0.27879999999999999</v>
      </c>
      <c r="AG33" s="17">
        <f>'LK data'!AG33-'Z1'!P37</f>
        <v>0.26279999999999998</v>
      </c>
      <c r="AH33" s="17">
        <f>'LK data'!AH33-'Z1'!Q37</f>
        <v>0.21790000000000001</v>
      </c>
    </row>
    <row r="34" spans="2:34" x14ac:dyDescent="0.25">
      <c r="B34">
        <v>1.8</v>
      </c>
      <c r="C34" s="17">
        <f>'LK data'!C34-Z0!C38</f>
        <v>0.99950000000000006</v>
      </c>
      <c r="D34" s="17">
        <f>'LK data'!D34-Z0!D38</f>
        <v>0.99770000000000003</v>
      </c>
      <c r="E34" s="17">
        <f>'LK data'!E34-Z0!E38</f>
        <v>0.99550000000000005</v>
      </c>
      <c r="F34" s="17">
        <f>'LK data'!F34-Z0!F38</f>
        <v>0.99099999999999999</v>
      </c>
      <c r="G34" s="17">
        <f>'LK data'!G34-Z0!G38</f>
        <v>0.98229999999999995</v>
      </c>
      <c r="H34" s="17">
        <f>'LK data'!H34-Z0!H38</f>
        <v>0.97389999999999999</v>
      </c>
      <c r="I34" s="17">
        <f>'LK data'!I34-Z0!I38</f>
        <v>0.96589999999999998</v>
      </c>
      <c r="J34" s="17">
        <f>'LK data'!J34-Z0!J38</f>
        <v>0.95830000000000004</v>
      </c>
      <c r="K34" s="17">
        <f>'LK data'!K34-Z0!K38</f>
        <v>0.95109999999999995</v>
      </c>
      <c r="L34" s="17">
        <f>'LK data'!L34-Z0!L38</f>
        <v>0.94130000000000003</v>
      </c>
      <c r="M34" s="17">
        <f>'LK data'!M34-Z0!M38</f>
        <v>0.92749999999999999</v>
      </c>
      <c r="N34" s="17">
        <f>'LK data'!N34-Z0!N38</f>
        <v>0.91180000000000005</v>
      </c>
      <c r="O34" s="17">
        <f>'LK data'!O34-Z0!O38</f>
        <v>0.92969999999999997</v>
      </c>
      <c r="P34" s="17">
        <f>'LK data'!P34-Z0!P38</f>
        <v>0.99609999999999999</v>
      </c>
      <c r="Q34" s="17">
        <f>'LK data'!Q34-Z0!Q38</f>
        <v>1.1391</v>
      </c>
      <c r="S34">
        <v>1.8</v>
      </c>
      <c r="T34" s="17">
        <f>'LK data'!T34-'Z1'!C38</f>
        <v>8.0000000000000004E-4</v>
      </c>
      <c r="U34" s="17">
        <f>'LK data'!U34-'Z1'!D38</f>
        <v>4.0000000000000001E-3</v>
      </c>
      <c r="V34" s="17">
        <f>'LK data'!V34-'Z1'!E38</f>
        <v>8.0999999999999996E-3</v>
      </c>
      <c r="W34" s="17">
        <f>'LK data'!W34-'Z1'!F38</f>
        <v>1.6199999999999999E-2</v>
      </c>
      <c r="X34" s="17">
        <f>'LK data'!X34-'Z1'!G38</f>
        <v>3.2500000000000001E-2</v>
      </c>
      <c r="Y34" s="17">
        <f>'LK data'!Y34-'Z1'!H38</f>
        <v>4.8800000000000003E-2</v>
      </c>
      <c r="Z34" s="17">
        <f>'LK data'!Z34-'Z1'!I38</f>
        <v>6.5199999999999994E-2</v>
      </c>
      <c r="AA34" s="17">
        <f>'LK data'!AA34-'Z1'!J38</f>
        <v>8.14E-2</v>
      </c>
      <c r="AB34" s="17">
        <f>'LK data'!AB34-'Z1'!K38</f>
        <v>9.7799999999999998E-2</v>
      </c>
      <c r="AC34" s="17">
        <f>'LK data'!AC34-'Z1'!L38</f>
        <v>0.1216</v>
      </c>
      <c r="AD34" s="17">
        <f>'LK data'!AD34-'Z1'!M38</f>
        <v>0.1593</v>
      </c>
      <c r="AE34" s="17">
        <f>'LK data'!AE34-'Z1'!N38</f>
        <v>0.22239999999999999</v>
      </c>
      <c r="AF34" s="17">
        <f>'LK data'!AF34-'Z1'!O38</f>
        <v>0.28460000000000002</v>
      </c>
      <c r="AG34" s="17">
        <f>'LK data'!AG34-'Z1'!P38</f>
        <v>0.28710000000000002</v>
      </c>
      <c r="AH34" s="17">
        <f>'LK data'!AH34-'Z1'!Q38</f>
        <v>0.2576</v>
      </c>
    </row>
    <row r="35" spans="2:34" x14ac:dyDescent="0.25">
      <c r="B35">
        <v>1.9</v>
      </c>
      <c r="C35" s="17">
        <f>'LK data'!C35-Z0!C39</f>
        <v>0.99960000000000004</v>
      </c>
      <c r="D35" s="17">
        <f>'LK data'!D35-Z0!D39</f>
        <v>0.99819999999999998</v>
      </c>
      <c r="E35" s="17">
        <f>'LK data'!E35-Z0!E39</f>
        <v>0.99639999999999995</v>
      </c>
      <c r="F35" s="17">
        <f>'LK data'!F35-Z0!F39</f>
        <v>0.9929</v>
      </c>
      <c r="G35" s="17">
        <f>'LK data'!G35-Z0!G39</f>
        <v>0.98609999999999998</v>
      </c>
      <c r="H35" s="17">
        <f>'LK data'!H35-Z0!H39</f>
        <v>0.97960000000000003</v>
      </c>
      <c r="I35" s="17">
        <f>'LK data'!I35-Z0!I39</f>
        <v>0.97350000000000003</v>
      </c>
      <c r="J35" s="17">
        <f>'LK data'!J35-Z0!J39</f>
        <v>0.96779999999999999</v>
      </c>
      <c r="K35" s="17">
        <f>'LK data'!K35-Z0!K39</f>
        <v>0.96240000000000003</v>
      </c>
      <c r="L35" s="17">
        <f>'LK data'!L35-Z0!L39</f>
        <v>0.95520000000000005</v>
      </c>
      <c r="M35" s="17">
        <f>'LK data'!M35-Z0!M39</f>
        <v>0.9456</v>
      </c>
      <c r="N35" s="17">
        <f>'LK data'!N35-Z0!N39</f>
        <v>0.93589999999999995</v>
      </c>
      <c r="O35" s="17">
        <f>'LK data'!O35-Z0!O39</f>
        <v>0.95569999999999999</v>
      </c>
      <c r="P35" s="17">
        <f>'LK data'!P35-Z0!P39</f>
        <v>1.0157</v>
      </c>
      <c r="Q35" s="17">
        <f>'LK data'!Q35-Z0!Q39</f>
        <v>1.1452</v>
      </c>
      <c r="S35">
        <v>1.9</v>
      </c>
      <c r="T35" s="17">
        <f>'LK data'!T35-'Z1'!C39</f>
        <v>8.0000000000000004E-4</v>
      </c>
      <c r="U35" s="17">
        <f>'LK data'!U35-'Z1'!D39</f>
        <v>4.0000000000000001E-3</v>
      </c>
      <c r="V35" s="17">
        <f>'LK data'!V35-'Z1'!E39</f>
        <v>7.9000000000000008E-3</v>
      </c>
      <c r="W35" s="17">
        <f>'LK data'!W35-'Z1'!F39</f>
        <v>1.5900000000000001E-2</v>
      </c>
      <c r="X35" s="17">
        <f>'LK data'!X35-'Z1'!G39</f>
        <v>3.1800000000000002E-2</v>
      </c>
      <c r="Y35" s="17">
        <f>'LK data'!Y35-'Z1'!H39</f>
        <v>4.7699999999999999E-2</v>
      </c>
      <c r="Z35" s="17">
        <f>'LK data'!Z35-'Z1'!I39</f>
        <v>6.3500000000000001E-2</v>
      </c>
      <c r="AA35" s="17">
        <f>'LK data'!AA35-'Z1'!J39</f>
        <v>7.9200000000000007E-2</v>
      </c>
      <c r="AB35" s="17">
        <f>'LK data'!AB35-'Z1'!K39</f>
        <v>9.4700000000000006E-2</v>
      </c>
      <c r="AC35" s="17">
        <f>'LK data'!AC35-'Z1'!L39</f>
        <v>0.1173</v>
      </c>
      <c r="AD35" s="17">
        <f>'LK data'!AD35-'Z1'!M39</f>
        <v>0.1532</v>
      </c>
      <c r="AE35" s="17">
        <f>'LK data'!AE35-'Z1'!N39</f>
        <v>0.21440000000000001</v>
      </c>
      <c r="AF35" s="17">
        <f>'LK data'!AF35-'Z1'!O39</f>
        <v>0.2848</v>
      </c>
      <c r="AG35" s="17">
        <f>'LK data'!AG35-'Z1'!P39</f>
        <v>0.30170000000000002</v>
      </c>
      <c r="AH35" s="17">
        <f>'LK data'!AH35-'Z1'!Q39</f>
        <v>0.28760000000000002</v>
      </c>
    </row>
    <row r="36" spans="2:34" x14ac:dyDescent="0.25">
      <c r="B36">
        <v>2</v>
      </c>
      <c r="C36" s="17">
        <f>'LK data'!C36-Z0!C40</f>
        <v>0.99970000000000003</v>
      </c>
      <c r="D36" s="17">
        <f>'LK data'!D36-Z0!D40</f>
        <v>0.99860000000000004</v>
      </c>
      <c r="E36" s="17">
        <f>'LK data'!E36-Z0!E40</f>
        <v>0.99719999999999998</v>
      </c>
      <c r="F36" s="17">
        <f>'LK data'!F36-Z0!F40</f>
        <v>0.99439999999999995</v>
      </c>
      <c r="G36" s="17">
        <f>'LK data'!G36-Z0!G40</f>
        <v>0.98919999999999997</v>
      </c>
      <c r="H36" s="17">
        <f>'LK data'!H36-Z0!H40</f>
        <v>0.98419999999999996</v>
      </c>
      <c r="I36" s="17">
        <f>'LK data'!I36-Z0!I40</f>
        <v>0.97960000000000003</v>
      </c>
      <c r="J36" s="17">
        <f>'LK data'!J36-Z0!J40</f>
        <v>0.97540000000000004</v>
      </c>
      <c r="K36" s="17">
        <f>'LK data'!K36-Z0!K40</f>
        <v>0.97150000000000003</v>
      </c>
      <c r="L36" s="17">
        <f>'LK data'!L36-Z0!L40</f>
        <v>0.96640000000000004</v>
      </c>
      <c r="M36" s="17">
        <f>'LK data'!M36-Z0!M40</f>
        <v>0.95989999999999998</v>
      </c>
      <c r="N36" s="17">
        <f>'LK data'!N36-Z0!N40</f>
        <v>0.95499999999999996</v>
      </c>
      <c r="O36" s="17">
        <f>'LK data'!O36-Z0!O40</f>
        <v>0.97719999999999996</v>
      </c>
      <c r="P36" s="17">
        <f>'LK data'!P36-Z0!P40</f>
        <v>1.0327999999999999</v>
      </c>
      <c r="Q36" s="17">
        <f>'LK data'!Q36-Z0!Q40</f>
        <v>1.1516</v>
      </c>
      <c r="S36">
        <v>2</v>
      </c>
      <c r="T36" s="17">
        <f>'LK data'!T36-'Z1'!C40</f>
        <v>8.0000000000000004E-4</v>
      </c>
      <c r="U36" s="17">
        <f>'LK data'!U36-'Z1'!D40</f>
        <v>3.8999999999999998E-3</v>
      </c>
      <c r="V36" s="17">
        <f>'LK data'!V36-'Z1'!E40</f>
        <v>7.7999999999999996E-3</v>
      </c>
      <c r="W36" s="17">
        <f>'LK data'!W36-'Z1'!F40</f>
        <v>1.55E-2</v>
      </c>
      <c r="X36" s="17">
        <f>'LK data'!X36-'Z1'!G40</f>
        <v>3.1E-2</v>
      </c>
      <c r="Y36" s="17">
        <f>'LK data'!Y36-'Z1'!H40</f>
        <v>4.6399999999999997E-2</v>
      </c>
      <c r="Z36" s="17">
        <f>'LK data'!Z36-'Z1'!I40</f>
        <v>6.1699999999999998E-2</v>
      </c>
      <c r="AA36" s="17">
        <f>'LK data'!AA36-'Z1'!J40</f>
        <v>7.6700000000000004E-2</v>
      </c>
      <c r="AB36" s="17">
        <f>'LK data'!AB36-'Z1'!K40</f>
        <v>9.1600000000000001E-2</v>
      </c>
      <c r="AC36" s="17">
        <f>'LK data'!AC36-'Z1'!L40</f>
        <v>0.1133</v>
      </c>
      <c r="AD36" s="17">
        <f>'LK data'!AD36-'Z1'!M40</f>
        <v>0.14760000000000001</v>
      </c>
      <c r="AE36" s="17">
        <f>'LK data'!AE36-'Z1'!N40</f>
        <v>0.2069</v>
      </c>
      <c r="AF36" s="17">
        <f>'LK data'!AF36-'Z1'!O40</f>
        <v>0.28189999999999998</v>
      </c>
      <c r="AG36" s="17">
        <f>'LK data'!AG36-'Z1'!P40</f>
        <v>0.30969999999999998</v>
      </c>
      <c r="AH36" s="17">
        <f>'LK data'!AH36-'Z1'!Q40</f>
        <v>0.30959999999999999</v>
      </c>
    </row>
    <row r="37" spans="2:34" x14ac:dyDescent="0.25">
      <c r="B37">
        <v>2.2000000000000002</v>
      </c>
      <c r="C37" s="17">
        <f>'LK data'!C37-Z0!C41</f>
        <v>0.99980000000000002</v>
      </c>
      <c r="D37" s="17">
        <f>'LK data'!D37-Z0!D41</f>
        <v>0.99919999999999998</v>
      </c>
      <c r="E37" s="17">
        <f>'LK data'!E37-Z0!E41</f>
        <v>0.99829999999999997</v>
      </c>
      <c r="F37" s="17">
        <f>'LK data'!F37-Z0!F41</f>
        <v>0.99670000000000003</v>
      </c>
      <c r="G37" s="17">
        <f>'LK data'!G37-Z0!G41</f>
        <v>0.99370000000000003</v>
      </c>
      <c r="H37" s="17">
        <f>'LK data'!H37-Z0!H41</f>
        <v>0.99099999999999999</v>
      </c>
      <c r="I37" s="17">
        <f>'LK data'!I37-Z0!I41</f>
        <v>0.98860000000000003</v>
      </c>
      <c r="J37" s="17">
        <f>'LK data'!J37-Z0!J41</f>
        <v>0.98650000000000004</v>
      </c>
      <c r="K37" s="17">
        <f>'LK data'!K37-Z0!K41</f>
        <v>0.98470000000000002</v>
      </c>
      <c r="L37" s="17">
        <f>'LK data'!L37-Z0!L41</f>
        <v>0.98260000000000003</v>
      </c>
      <c r="M37" s="17">
        <f>'LK data'!M37-Z0!M41</f>
        <v>0.98060000000000003</v>
      </c>
      <c r="N37" s="17">
        <f>'LK data'!N37-Z0!N41</f>
        <v>0.98270000000000002</v>
      </c>
      <c r="O37" s="17">
        <f>'LK data'!O37-Z0!O41</f>
        <v>1.0094000000000001</v>
      </c>
      <c r="P37" s="17">
        <f>'LK data'!P37-Z0!P41</f>
        <v>1.06</v>
      </c>
      <c r="Q37" s="17">
        <f>'LK data'!Q37-Z0!Q41</f>
        <v>1.1635</v>
      </c>
      <c r="S37">
        <v>2.2000000000000002</v>
      </c>
      <c r="T37" s="17">
        <f>'LK data'!T37-'Z1'!C41</f>
        <v>6.9999999999999999E-4</v>
      </c>
      <c r="U37" s="17">
        <f>'LK data'!U37-'Z1'!D41</f>
        <v>3.7000000000000002E-3</v>
      </c>
      <c r="V37" s="17">
        <f>'LK data'!V37-'Z1'!E41</f>
        <v>7.4000000000000003E-3</v>
      </c>
      <c r="W37" s="17">
        <f>'LK data'!W37-'Z1'!F41</f>
        <v>1.47E-2</v>
      </c>
      <c r="X37" s="17">
        <f>'LK data'!X37-'Z1'!G41</f>
        <v>2.93E-2</v>
      </c>
      <c r="Y37" s="17">
        <f>'LK data'!Y37-'Z1'!H41</f>
        <v>4.3700000000000003E-2</v>
      </c>
      <c r="Z37" s="17">
        <f>'LK data'!Z37-'Z1'!I41</f>
        <v>5.79E-2</v>
      </c>
      <c r="AA37" s="17">
        <f>'LK data'!AA37-'Z1'!J41</f>
        <v>7.1900000000000006E-2</v>
      </c>
      <c r="AB37" s="17">
        <f>'LK data'!AB37-'Z1'!K41</f>
        <v>8.5699999999999998E-2</v>
      </c>
      <c r="AC37" s="17">
        <f>'LK data'!AC37-'Z1'!L41</f>
        <v>0.1057</v>
      </c>
      <c r="AD37" s="17">
        <f>'LK data'!AD37-'Z1'!M41</f>
        <v>0.13739999999999999</v>
      </c>
      <c r="AE37" s="17">
        <f>'LK data'!AE37-'Z1'!N41</f>
        <v>0.19320000000000001</v>
      </c>
      <c r="AF37" s="17">
        <f>'LK data'!AF37-'Z1'!O41</f>
        <v>0.27200000000000002</v>
      </c>
      <c r="AG37" s="17">
        <f>'LK data'!AG37-'Z1'!P41</f>
        <v>0.3135</v>
      </c>
      <c r="AH37" s="17">
        <f>'LK data'!AH37-'Z1'!Q41</f>
        <v>0.33550000000000002</v>
      </c>
    </row>
    <row r="38" spans="2:34" x14ac:dyDescent="0.25">
      <c r="B38">
        <v>2.4</v>
      </c>
      <c r="C38" s="17">
        <f>'LK data'!C38-Z0!C42</f>
        <v>0.99990000000000001</v>
      </c>
      <c r="D38" s="17">
        <f>'LK data'!D38-Z0!D42</f>
        <v>0.99960000000000004</v>
      </c>
      <c r="E38" s="17">
        <f>'LK data'!E38-Z0!E42</f>
        <v>0.99909999999999999</v>
      </c>
      <c r="F38" s="17">
        <f>'LK data'!F38-Z0!F42</f>
        <v>0.99829999999999997</v>
      </c>
      <c r="G38" s="17">
        <f>'LK data'!G38-Z0!G42</f>
        <v>0.99690000000000001</v>
      </c>
      <c r="H38" s="17">
        <f>'LK data'!H38-Z0!H42</f>
        <v>0.99570000000000003</v>
      </c>
      <c r="I38" s="17">
        <f>'LK data'!I38-Z0!I42</f>
        <v>0.99480000000000002</v>
      </c>
      <c r="J38" s="17">
        <f>'LK data'!J38-Z0!J42</f>
        <v>0.99409999999999998</v>
      </c>
      <c r="K38" s="17">
        <f>'LK data'!K38-Z0!K42</f>
        <v>0.99360000000000004</v>
      </c>
      <c r="L38" s="17">
        <f>'LK data'!L38-Z0!L42</f>
        <v>0.99350000000000005</v>
      </c>
      <c r="M38" s="17">
        <f>'LK data'!M38-Z0!M42</f>
        <v>0.99450000000000005</v>
      </c>
      <c r="N38" s="17">
        <f>'LK data'!N38-Z0!N42</f>
        <v>1.0011000000000001</v>
      </c>
      <c r="O38" s="17">
        <f>'LK data'!O38-Z0!O42</f>
        <v>1.0313000000000001</v>
      </c>
      <c r="P38" s="17">
        <f>'LK data'!P38-Z0!P42</f>
        <v>1.0792999999999999</v>
      </c>
      <c r="Q38" s="17">
        <f>'LK data'!Q38-Z0!Q42</f>
        <v>1.1728000000000001</v>
      </c>
      <c r="S38">
        <v>2.4</v>
      </c>
      <c r="T38" s="17">
        <f>'LK data'!T38-'Z1'!C42</f>
        <v>6.9999999999999999E-4</v>
      </c>
      <c r="U38" s="17">
        <f>'LK data'!U38-'Z1'!D42</f>
        <v>3.5000000000000001E-3</v>
      </c>
      <c r="V38" s="17">
        <f>'LK data'!V38-'Z1'!E42</f>
        <v>7.0000000000000001E-3</v>
      </c>
      <c r="W38" s="17">
        <f>'LK data'!W38-'Z1'!F42</f>
        <v>1.3899999999999999E-2</v>
      </c>
      <c r="X38" s="17">
        <f>'LK data'!X38-'Z1'!G42</f>
        <v>2.76E-2</v>
      </c>
      <c r="Y38" s="17">
        <f>'LK data'!Y38-'Z1'!H42</f>
        <v>4.1099999999999998E-2</v>
      </c>
      <c r="Z38" s="17">
        <f>'LK data'!Z38-'Z1'!I42</f>
        <v>5.4399999999999997E-2</v>
      </c>
      <c r="AA38" s="17">
        <f>'LK data'!AA38-'Z1'!J42</f>
        <v>6.7500000000000004E-2</v>
      </c>
      <c r="AB38" s="17">
        <f>'LK data'!AB38-'Z1'!K42</f>
        <v>8.0299999999999996E-2</v>
      </c>
      <c r="AC38" s="17">
        <f>'LK data'!AC38-'Z1'!L42</f>
        <v>9.8900000000000002E-2</v>
      </c>
      <c r="AD38" s="17">
        <f>'LK data'!AD38-'Z1'!M42</f>
        <v>0.1285</v>
      </c>
      <c r="AE38" s="17">
        <f>'LK data'!AE38-'Z1'!N42</f>
        <v>0.1812</v>
      </c>
      <c r="AF38" s="17">
        <f>'LK data'!AF38-'Z1'!O42</f>
        <v>0.26019999999999999</v>
      </c>
      <c r="AG38" s="17">
        <f>'LK data'!AG38-'Z1'!P42</f>
        <v>0.30890000000000001</v>
      </c>
      <c r="AH38" s="17">
        <f>'LK data'!AH38-'Z1'!Q42</f>
        <v>0.34589999999999999</v>
      </c>
    </row>
    <row r="39" spans="2:34" x14ac:dyDescent="0.25">
      <c r="B39">
        <v>2.6</v>
      </c>
      <c r="C39" s="17">
        <f>'LK data'!C39-Z0!C43</f>
        <v>1</v>
      </c>
      <c r="D39" s="17">
        <f>'LK data'!D39-Z0!D43</f>
        <v>0.99980000000000002</v>
      </c>
      <c r="E39" s="17">
        <f>'LK data'!E39-Z0!E43</f>
        <v>0.99970000000000003</v>
      </c>
      <c r="F39" s="17">
        <f>'LK data'!F39-Z0!F43</f>
        <v>0.99939999999999996</v>
      </c>
      <c r="G39" s="17">
        <f>'LK data'!G39-Z0!G43</f>
        <v>0.99909999999999999</v>
      </c>
      <c r="H39" s="17">
        <f>'LK data'!H39-Z0!H43</f>
        <v>0.999</v>
      </c>
      <c r="I39" s="17">
        <f>'LK data'!I39-Z0!I43</f>
        <v>0.999</v>
      </c>
      <c r="J39" s="17">
        <f>'LK data'!J39-Z0!J43</f>
        <v>0.99929999999999997</v>
      </c>
      <c r="K39" s="17">
        <f>'LK data'!K39-Z0!K43</f>
        <v>0.99980000000000002</v>
      </c>
      <c r="L39" s="17">
        <f>'LK data'!L39-Z0!L43</f>
        <v>1.0009999999999999</v>
      </c>
      <c r="M39" s="17">
        <f>'LK data'!M39-Z0!M43</f>
        <v>1.004</v>
      </c>
      <c r="N39" s="17">
        <f>'LK data'!N39-Z0!N43</f>
        <v>1.0137</v>
      </c>
      <c r="O39" s="17">
        <f>'LK data'!O39-Z0!O43</f>
        <v>1.0463</v>
      </c>
      <c r="P39" s="17">
        <f>'LK data'!P39-Z0!P43</f>
        <v>1.0926</v>
      </c>
      <c r="Q39" s="17">
        <f>'LK data'!Q39-Z0!Q43</f>
        <v>1.1792</v>
      </c>
      <c r="S39">
        <v>2.6</v>
      </c>
      <c r="T39" s="17">
        <f>'LK data'!T39-'Z1'!C43</f>
        <v>6.9999999999999999E-4</v>
      </c>
      <c r="U39" s="17">
        <f>'LK data'!U39-'Z1'!D43</f>
        <v>3.3E-3</v>
      </c>
      <c r="V39" s="17">
        <f>'LK data'!V39-'Z1'!E43</f>
        <v>6.6E-3</v>
      </c>
      <c r="W39" s="17">
        <f>'LK data'!W39-'Z1'!F43</f>
        <v>1.3100000000000001E-2</v>
      </c>
      <c r="X39" s="17">
        <f>'LK data'!X39-'Z1'!G43</f>
        <v>2.5999999999999999E-2</v>
      </c>
      <c r="Y39" s="17">
        <f>'LK data'!Y39-'Z1'!H43</f>
        <v>3.8699999999999998E-2</v>
      </c>
      <c r="Z39" s="17">
        <f>'LK data'!Z39-'Z1'!I43</f>
        <v>5.1200000000000002E-2</v>
      </c>
      <c r="AA39" s="17">
        <f>'LK data'!AA39-'Z1'!J43</f>
        <v>6.3399999999999998E-2</v>
      </c>
      <c r="AB39" s="17">
        <f>'LK data'!AB39-'Z1'!K43</f>
        <v>7.5399999999999995E-2</v>
      </c>
      <c r="AC39" s="17">
        <f>'LK data'!AC39-'Z1'!L43</f>
        <v>9.2899999999999996E-2</v>
      </c>
      <c r="AD39" s="17">
        <f>'LK data'!AD39-'Z1'!M43</f>
        <v>0.1207</v>
      </c>
      <c r="AE39" s="17">
        <f>'LK data'!AE39-'Z1'!N43</f>
        <v>0.1706</v>
      </c>
      <c r="AF39" s="17">
        <f>'LK data'!AF39-'Z1'!O43</f>
        <v>0.24840000000000001</v>
      </c>
      <c r="AG39" s="17">
        <f>'LK data'!AG39-'Z1'!P43</f>
        <v>0.3009</v>
      </c>
      <c r="AH39" s="17">
        <f>'LK data'!AH39-'Z1'!Q43</f>
        <v>0.34749999999999998</v>
      </c>
    </row>
    <row r="40" spans="2:34" x14ac:dyDescent="0.25">
      <c r="B40">
        <v>2.8</v>
      </c>
      <c r="C40" s="17">
        <f>'LK data'!C40-Z0!C44</f>
        <v>1</v>
      </c>
      <c r="D40" s="17">
        <f>'LK data'!D40-Z0!D44</f>
        <v>1</v>
      </c>
      <c r="E40" s="17">
        <f>'LK data'!E40-Z0!E44</f>
        <v>1.0001</v>
      </c>
      <c r="F40" s="17">
        <f>'LK data'!F40-Z0!F44</f>
        <v>1.0002</v>
      </c>
      <c r="G40" s="17">
        <f>'LK data'!G40-Z0!G44</f>
        <v>1.0006999999999999</v>
      </c>
      <c r="H40" s="17">
        <f>'LK data'!H40-Z0!H44</f>
        <v>1.0013000000000001</v>
      </c>
      <c r="I40" s="17">
        <f>'LK data'!I40-Z0!I44</f>
        <v>1.0021</v>
      </c>
      <c r="J40" s="17">
        <f>'LK data'!J40-Z0!J44</f>
        <v>1.0031000000000001</v>
      </c>
      <c r="K40" s="17">
        <f>'LK data'!K40-Z0!K44</f>
        <v>1.0042</v>
      </c>
      <c r="L40" s="17">
        <f>'LK data'!L40-Z0!L44</f>
        <v>1.0063</v>
      </c>
      <c r="M40" s="17">
        <f>'LK data'!M40-Z0!M44</f>
        <v>1.0105999999999999</v>
      </c>
      <c r="N40" s="17">
        <f>'LK data'!N40-Z0!N44</f>
        <v>1.0223</v>
      </c>
      <c r="O40" s="17">
        <f>'LK data'!O40-Z0!O44</f>
        <v>1.0565</v>
      </c>
      <c r="P40" s="17">
        <f>'LK data'!P40-Z0!P44</f>
        <v>1.1015999999999999</v>
      </c>
      <c r="Q40" s="17">
        <f>'LK data'!Q40-Z0!Q44</f>
        <v>1.1830000000000001</v>
      </c>
      <c r="S40">
        <v>2.8</v>
      </c>
      <c r="T40" s="17">
        <f>'LK data'!T40-'Z1'!C44</f>
        <v>5.9999999999999995E-4</v>
      </c>
      <c r="U40" s="17">
        <f>'LK data'!U40-'Z1'!D44</f>
        <v>3.0999999999999999E-3</v>
      </c>
      <c r="V40" s="17">
        <f>'LK data'!V40-'Z1'!E44</f>
        <v>6.1999999999999998E-3</v>
      </c>
      <c r="W40" s="17">
        <f>'LK data'!W40-'Z1'!F44</f>
        <v>1.24E-2</v>
      </c>
      <c r="X40" s="17">
        <f>'LK data'!X40-'Z1'!G44</f>
        <v>2.4500000000000001E-2</v>
      </c>
      <c r="Y40" s="17">
        <f>'LK data'!Y40-'Z1'!H44</f>
        <v>3.6499999999999998E-2</v>
      </c>
      <c r="Z40" s="17">
        <f>'LK data'!Z40-'Z1'!I44</f>
        <v>4.8300000000000003E-2</v>
      </c>
      <c r="AA40" s="17">
        <f>'LK data'!AA40-'Z1'!J44</f>
        <v>5.9799999999999999E-2</v>
      </c>
      <c r="AB40" s="17">
        <f>'LK data'!AB40-'Z1'!K44</f>
        <v>7.1099999999999997E-2</v>
      </c>
      <c r="AC40" s="17">
        <f>'LK data'!AC40-'Z1'!L44</f>
        <v>8.7599999999999997E-2</v>
      </c>
      <c r="AD40" s="17">
        <f>'LK data'!AD40-'Z1'!M44</f>
        <v>0.1138</v>
      </c>
      <c r="AE40" s="17">
        <f>'LK data'!AE40-'Z1'!N44</f>
        <v>0.1613</v>
      </c>
      <c r="AF40" s="17">
        <f>'LK data'!AF40-'Z1'!O44</f>
        <v>0.23719999999999999</v>
      </c>
      <c r="AG40" s="17">
        <f>'LK data'!AG40-'Z1'!P44</f>
        <v>0.29149999999999998</v>
      </c>
      <c r="AH40" s="17">
        <f>'LK data'!AH40-'Z1'!Q44</f>
        <v>0.34429999999999999</v>
      </c>
    </row>
    <row r="41" spans="2:34" x14ac:dyDescent="0.25">
      <c r="B41">
        <v>3</v>
      </c>
      <c r="C41" s="17">
        <f>'LK data'!C41-Z0!C45</f>
        <v>1</v>
      </c>
      <c r="D41" s="17">
        <f>'LK data'!D41-Z0!D45</f>
        <v>1.0002</v>
      </c>
      <c r="E41" s="17">
        <f>'LK data'!E41-Z0!E45</f>
        <v>1.0004</v>
      </c>
      <c r="F41" s="17">
        <f>'LK data'!F41-Z0!F45</f>
        <v>1.0007999999999999</v>
      </c>
      <c r="G41" s="17">
        <f>'LK data'!G41-Z0!G45</f>
        <v>1.0018</v>
      </c>
      <c r="H41" s="17">
        <f>'LK data'!H41-Z0!H45</f>
        <v>1.0029999999999999</v>
      </c>
      <c r="I41" s="17">
        <f>'LK data'!I41-Z0!I45</f>
        <v>1.0043</v>
      </c>
      <c r="J41" s="17">
        <f>'LK data'!J41-Z0!J45</f>
        <v>1.0057</v>
      </c>
      <c r="K41" s="17">
        <f>'LK data'!K41-Z0!K45</f>
        <v>1.0074000000000001</v>
      </c>
      <c r="L41" s="17">
        <f>'LK data'!L41-Z0!L45</f>
        <v>1.0101</v>
      </c>
      <c r="M41" s="17">
        <f>'LK data'!M41-Z0!M45</f>
        <v>1.0153000000000001</v>
      </c>
      <c r="N41" s="17">
        <f>'LK data'!N41-Z0!N45</f>
        <v>1.0284</v>
      </c>
      <c r="O41" s="17">
        <f>'LK data'!O41-Z0!O45</f>
        <v>1.0634999999999999</v>
      </c>
      <c r="P41" s="17">
        <f>'LK data'!P41-Z0!P45</f>
        <v>1.1074999999999999</v>
      </c>
      <c r="Q41" s="17">
        <f>'LK data'!Q41-Z0!Q45</f>
        <v>1.1848000000000001</v>
      </c>
      <c r="S41">
        <v>3</v>
      </c>
      <c r="T41" s="17">
        <f>'LK data'!T41-'Z1'!C45</f>
        <v>5.9999999999999995E-4</v>
      </c>
      <c r="U41" s="17">
        <f>'LK data'!U41-'Z1'!D45</f>
        <v>2.8999999999999998E-3</v>
      </c>
      <c r="V41" s="17">
        <f>'LK data'!V41-'Z1'!E45</f>
        <v>5.8999999999999999E-3</v>
      </c>
      <c r="W41" s="17">
        <f>'LK data'!W41-'Z1'!F45</f>
        <v>1.17E-2</v>
      </c>
      <c r="X41" s="17">
        <f>'LK data'!X41-'Z1'!G45</f>
        <v>2.3199999999999998E-2</v>
      </c>
      <c r="Y41" s="17">
        <f>'LK data'!Y41-'Z1'!H45</f>
        <v>3.4500000000000003E-2</v>
      </c>
      <c r="Z41" s="17">
        <f>'LK data'!Z41-'Z1'!I45</f>
        <v>4.5600000000000002E-2</v>
      </c>
      <c r="AA41" s="17">
        <f>'LK data'!AA41-'Z1'!J45</f>
        <v>5.6500000000000002E-2</v>
      </c>
      <c r="AB41" s="17">
        <f>'LK data'!AB41-'Z1'!K45</f>
        <v>6.7199999999999996E-2</v>
      </c>
      <c r="AC41" s="17">
        <f>'LK data'!AC41-'Z1'!L45</f>
        <v>8.2799999999999999E-2</v>
      </c>
      <c r="AD41" s="17">
        <f>'LK data'!AD41-'Z1'!M45</f>
        <v>0.1076</v>
      </c>
      <c r="AE41" s="17">
        <f>'LK data'!AE41-'Z1'!N45</f>
        <v>0.15290000000000001</v>
      </c>
      <c r="AF41" s="17">
        <f>'LK data'!AF41-'Z1'!O45</f>
        <v>0.2268</v>
      </c>
      <c r="AG41" s="17">
        <f>'LK data'!AG41-'Z1'!P45</f>
        <v>0.28170000000000001</v>
      </c>
      <c r="AH41" s="17">
        <f>'LK data'!AH41-'Z1'!Q45</f>
        <v>0.33850000000000002</v>
      </c>
    </row>
    <row r="42" spans="2:34" x14ac:dyDescent="0.25">
      <c r="B42">
        <v>3.5</v>
      </c>
      <c r="C42" s="17">
        <f>'LK data'!C42-Z0!C46</f>
        <v>1.0001</v>
      </c>
      <c r="D42" s="17">
        <f>'LK data'!D42-Z0!D46</f>
        <v>1.0004</v>
      </c>
      <c r="E42" s="17">
        <f>'LK data'!E42-Z0!E46</f>
        <v>1.0007999999999999</v>
      </c>
      <c r="F42" s="17">
        <f>'LK data'!F42-Z0!F46</f>
        <v>1.0017</v>
      </c>
      <c r="G42" s="17">
        <f>'LK data'!G42-Z0!G46</f>
        <v>1.0035000000000001</v>
      </c>
      <c r="H42" s="17">
        <f>'LK data'!H42-Z0!H46</f>
        <v>1.0055000000000001</v>
      </c>
      <c r="I42" s="17">
        <f>'LK data'!I42-Z0!I46</f>
        <v>1.0075000000000001</v>
      </c>
      <c r="J42" s="17">
        <f>'LK data'!J42-Z0!J46</f>
        <v>1.0097</v>
      </c>
      <c r="K42" s="17">
        <f>'LK data'!K42-Z0!K46</f>
        <v>1.012</v>
      </c>
      <c r="L42" s="17">
        <f>'LK data'!L42-Z0!L46</f>
        <v>1.0156000000000001</v>
      </c>
      <c r="M42" s="17">
        <f>'LK data'!M42-Z0!M46</f>
        <v>1.0221</v>
      </c>
      <c r="N42" s="17">
        <f>'LK data'!N42-Z0!N46</f>
        <v>1.0367999999999999</v>
      </c>
      <c r="O42" s="17">
        <f>'LK data'!O42-Z0!O46</f>
        <v>1.0723</v>
      </c>
      <c r="P42" s="17">
        <f>'LK data'!P42-Z0!P46</f>
        <v>1.1137999999999999</v>
      </c>
      <c r="Q42" s="17">
        <f>'LK data'!Q42-Z0!Q46</f>
        <v>1.1834</v>
      </c>
      <c r="S42">
        <v>3.5</v>
      </c>
      <c r="T42" s="17">
        <f>'LK data'!T42-'Z1'!C46</f>
        <v>5.0000000000000001E-4</v>
      </c>
      <c r="U42" s="17">
        <f>'LK data'!U42-'Z1'!D46</f>
        <v>2.5999999999999999E-3</v>
      </c>
      <c r="V42" s="17">
        <f>'LK data'!V42-'Z1'!E46</f>
        <v>5.1999999999999998E-3</v>
      </c>
      <c r="W42" s="17">
        <f>'LK data'!W42-'Z1'!F46</f>
        <v>1.03E-2</v>
      </c>
      <c r="X42" s="17">
        <f>'LK data'!X42-'Z1'!G46</f>
        <v>2.0400000000000001E-2</v>
      </c>
      <c r="Y42" s="17">
        <f>'LK data'!Y42-'Z1'!H46</f>
        <v>3.0300000000000001E-2</v>
      </c>
      <c r="Z42" s="17">
        <f>'LK data'!Z42-'Z1'!I46</f>
        <v>4.0099999999999997E-2</v>
      </c>
      <c r="AA42" s="17">
        <f>'LK data'!AA42-'Z1'!J46</f>
        <v>4.9700000000000001E-2</v>
      </c>
      <c r="AB42" s="17">
        <f>'LK data'!AB42-'Z1'!K46</f>
        <v>5.91E-2</v>
      </c>
      <c r="AC42" s="17">
        <f>'LK data'!AC42-'Z1'!L46</f>
        <v>7.2800000000000004E-2</v>
      </c>
      <c r="AD42" s="17">
        <f>'LK data'!AD42-'Z1'!M46</f>
        <v>9.4899999999999998E-2</v>
      </c>
      <c r="AE42" s="17">
        <f>'LK data'!AE42-'Z1'!N46</f>
        <v>0.1356</v>
      </c>
      <c r="AF42" s="17">
        <f>'LK data'!AF42-'Z1'!O46</f>
        <v>0.20419999999999999</v>
      </c>
      <c r="AG42" s="17">
        <f>'LK data'!AG42-'Z1'!P46</f>
        <v>0.25840000000000002</v>
      </c>
      <c r="AH42" s="17">
        <f>'LK data'!AH42-'Z1'!Q46</f>
        <v>0.31940000000000002</v>
      </c>
    </row>
    <row r="43" spans="2:34" x14ac:dyDescent="0.25">
      <c r="B43">
        <v>4</v>
      </c>
      <c r="C43" s="17">
        <f>'LK data'!C43-Z0!C47</f>
        <v>1.0001</v>
      </c>
      <c r="D43" s="17">
        <f>'LK data'!D43-Z0!D47</f>
        <v>1.0004999999999999</v>
      </c>
      <c r="E43" s="17">
        <f>'LK data'!E43-Z0!E47</f>
        <v>1.0009999999999999</v>
      </c>
      <c r="F43" s="17">
        <f>'LK data'!F43-Z0!F47</f>
        <v>1.0021</v>
      </c>
      <c r="G43" s="17">
        <f>'LK data'!G43-Z0!G47</f>
        <v>1.0043</v>
      </c>
      <c r="H43" s="17">
        <f>'LK data'!H43-Z0!H47</f>
        <v>1.0065999999999999</v>
      </c>
      <c r="I43" s="17">
        <f>'LK data'!I43-Z0!I47</f>
        <v>1.0089999999999999</v>
      </c>
      <c r="J43" s="17">
        <f>'LK data'!J43-Z0!J47</f>
        <v>1.0115000000000001</v>
      </c>
      <c r="K43" s="17">
        <f>'LK data'!K43-Z0!K47</f>
        <v>1.014</v>
      </c>
      <c r="L43" s="17">
        <f>'LK data'!L43-Z0!L47</f>
        <v>1.0179</v>
      </c>
      <c r="M43" s="17">
        <f>'LK data'!M43-Z0!M47</f>
        <v>1.0248999999999999</v>
      </c>
      <c r="N43" s="17">
        <f>'LK data'!N43-Z0!N47</f>
        <v>1.0401</v>
      </c>
      <c r="O43" s="17">
        <f>'LK data'!O43-Z0!O47</f>
        <v>1.0747</v>
      </c>
      <c r="P43" s="17">
        <f>'LK data'!P43-Z0!P47</f>
        <v>1.1135999999999999</v>
      </c>
      <c r="Q43" s="17">
        <f>'LK data'!Q43-Z0!Q47</f>
        <v>1.1773</v>
      </c>
      <c r="S43">
        <v>4</v>
      </c>
      <c r="T43" s="17">
        <f>'LK data'!T43-'Z1'!C47</f>
        <v>5.0000000000000001E-4</v>
      </c>
      <c r="U43" s="17">
        <f>'LK data'!U43-'Z1'!D47</f>
        <v>2.3E-3</v>
      </c>
      <c r="V43" s="17">
        <f>'LK data'!V43-'Z1'!E47</f>
        <v>4.5999999999999999E-3</v>
      </c>
      <c r="W43" s="17">
        <f>'LK data'!W43-'Z1'!F47</f>
        <v>9.1000000000000004E-3</v>
      </c>
      <c r="X43" s="17">
        <f>'LK data'!X43-'Z1'!G47</f>
        <v>1.8200000000000001E-2</v>
      </c>
      <c r="Y43" s="17">
        <f>'LK data'!Y43-'Z1'!H47</f>
        <v>2.7E-2</v>
      </c>
      <c r="Z43" s="17">
        <f>'LK data'!Z43-'Z1'!I47</f>
        <v>3.5700000000000003E-2</v>
      </c>
      <c r="AA43" s="17">
        <f>'LK data'!AA43-'Z1'!J47</f>
        <v>4.4299999999999999E-2</v>
      </c>
      <c r="AB43" s="17">
        <f>'LK data'!AB43-'Z1'!K47</f>
        <v>5.2699999999999997E-2</v>
      </c>
      <c r="AC43" s="17">
        <f>'LK data'!AC43-'Z1'!L47</f>
        <v>6.5100000000000005E-2</v>
      </c>
      <c r="AD43" s="17">
        <f>'LK data'!AD43-'Z1'!M47</f>
        <v>8.4900000000000003E-2</v>
      </c>
      <c r="AE43" s="17">
        <f>'LK data'!AE43-'Z1'!N47</f>
        <v>0.12189999999999999</v>
      </c>
      <c r="AF43" s="17">
        <f>'LK data'!AF43-'Z1'!O47</f>
        <v>0.1857</v>
      </c>
      <c r="AG43" s="17">
        <f>'LK data'!AG43-'Z1'!P47</f>
        <v>0.23780000000000001</v>
      </c>
      <c r="AH43" s="17">
        <f>'LK data'!AH43-'Z1'!Q47</f>
        <v>0.2994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IP21ConfigWorkBook xmlns:xsd="http://www.w3.org/2001/XMLSchema" xmlns:xsi="http://www.w3.org/2001/XMLSchema-instance" xmlns="http://www.aspentech.com/ProcessData/ExcelAddIn/IP21ConfigWorkBook">
  <WorkBookName>TestVPandEnthalpy.xlsm</WorkBookName>
  <MappingTemplateName/>
  <ColumnMaps/>
</IP21ConfigWorkBook>
</file>

<file path=customXml/itemProps1.xml><?xml version="1.0" encoding="utf-8"?>
<ds:datastoreItem xmlns:ds="http://schemas.openxmlformats.org/officeDocument/2006/customXml" ds:itemID="{EC09CC94-CE87-43AC-95D2-C9D7F8D6E287}">
  <ds:schemaRefs>
    <ds:schemaRef ds:uri="http://www.w3.org/2001/XMLSchema"/>
    <ds:schemaRef ds:uri="http://www.aspentech.com/ProcessData/ExcelAddIn/IP21ConfigWorkBook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Test</vt:lpstr>
      <vt:lpstr>Test Pressure Response</vt:lpstr>
      <vt:lpstr>Enthalpy_Entropy Check</vt:lpstr>
      <vt:lpstr>HeatVap</vt:lpstr>
      <vt:lpstr>Sheet1 (2)</vt:lpstr>
      <vt:lpstr>Sheet2</vt:lpstr>
      <vt:lpstr>Enthalpy Departure</vt:lpstr>
      <vt:lpstr>Z0</vt:lpstr>
      <vt:lpstr>Z1</vt:lpstr>
      <vt:lpstr>LK data</vt:lpstr>
      <vt:lpstr>Compare</vt:lpstr>
      <vt:lpstr>_B</vt:lpstr>
      <vt:lpstr>_b1</vt:lpstr>
      <vt:lpstr>_b2</vt:lpstr>
      <vt:lpstr>_B3</vt:lpstr>
      <vt:lpstr>_B4</vt:lpstr>
      <vt:lpstr>_C</vt:lpstr>
      <vt:lpstr>_C1</vt:lpstr>
      <vt:lpstr>_c2</vt:lpstr>
      <vt:lpstr>_C3</vt:lpstr>
      <vt:lpstr>_c4</vt:lpstr>
      <vt:lpstr>_D</vt:lpstr>
      <vt:lpstr>_d1</vt:lpstr>
      <vt:lpstr>_d2</vt:lpstr>
      <vt:lpstr>_E</vt:lpstr>
      <vt:lpstr>b1_</vt:lpstr>
      <vt:lpstr>b2_</vt:lpstr>
      <vt:lpstr>b3_</vt:lpstr>
      <vt:lpstr>beta</vt:lpstr>
      <vt:lpstr>gamma</vt:lpstr>
      <vt:lpstr>P</vt:lpstr>
      <vt:lpstr>Pc</vt:lpstr>
      <vt:lpstr>Pr</vt:lpstr>
      <vt:lpstr>'Test Pressure Response'!Press</vt:lpstr>
      <vt:lpstr>Press</vt:lpstr>
      <vt:lpstr>Tb</vt:lpstr>
      <vt:lpstr>Tbr</vt:lpstr>
      <vt:lpstr>Tc</vt:lpstr>
      <vt:lpstr>Temp</vt:lpstr>
      <vt:lpstr>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 Anders</cp:lastModifiedBy>
  <dcterms:created xsi:type="dcterms:W3CDTF">2016-08-26T12:16:54Z</dcterms:created>
  <dcterms:modified xsi:type="dcterms:W3CDTF">2022-07-12T09:14:37Z</dcterms:modified>
</cp:coreProperties>
</file>